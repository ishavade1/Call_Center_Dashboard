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10.svg" ContentType="image/svg+xml"/>
  <Override PartName="/xl/media/image12.svg" ContentType="image/svg+xml"/>
  <Override PartName="/xl/media/image14.svg" ContentType="image/svg+xml"/>
  <Override PartName="/xl/media/image16.svg" ContentType="image/svg+xml"/>
  <Override PartName="/xl/media/image18.svg" ContentType="image/svg+xml"/>
  <Override PartName="/xl/media/image2.svg" ContentType="image/svg+xml"/>
  <Override PartName="/xl/media/image20.svg" ContentType="image/svg+xml"/>
  <Override PartName="/xl/media/image2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16" firstSheet="4" activeTab="3"/>
  </bookViews>
  <sheets>
    <sheet name="Sheet3" sheetId="7" r:id="rId1"/>
    <sheet name="Data" sheetId="2" r:id="rId2"/>
    <sheet name="Assets" sheetId="4" r:id="rId3"/>
    <sheet name="Sheet2" sheetId="9" r:id="rId4"/>
    <sheet name="Customer Centre Data" sheetId="5" r:id="rId5"/>
  </sheets>
  <definedNames>
    <definedName name="Slicer_Representative">#N/A</definedName>
    <definedName name="_xlnm._FilterDatabase" localSheetId="1" hidden="1">Data!$B$3:$K$1003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C911822DCF444EC8A14DF6B7BA76BC9" descr="profile"/>
        <xdr:cNvPicPr>
          <a:picLocks noChangeAspect="1"/>
        </xdr:cNvPicPr>
      </xdr:nvPicPr>
      <xdr:blipFill>
        <a:blip r:embed="rId1"/>
        <a:srcRect l="19705" t="9526" r="4552" b="17158"/>
        <a:stretch>
          <a:fillRect/>
        </a:stretch>
      </xdr:blipFill>
      <xdr:spPr>
        <a:xfrm>
          <a:off x="6058535" y="1526540"/>
          <a:ext cx="1790700" cy="1745615"/>
        </a:xfrm>
        <a:prstGeom prst="ellipse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<sst xmlns="http://schemas.openxmlformats.org/spreadsheetml/2006/main" count="4287" uniqueCount="1092">
  <si>
    <t>Count of Call number</t>
  </si>
  <si>
    <t>Sum of Duration</t>
  </si>
  <si>
    <t>Sum of Purchase Amount</t>
  </si>
  <si>
    <t>Average of 5* Calls</t>
  </si>
  <si>
    <t>Average of Satisfaction Rating</t>
  </si>
  <si>
    <t>Date of Call2</t>
  </si>
  <si>
    <t>Count of Call number2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</si>
  <si>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</si>
  <si>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</si>
  <si>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</si>
  <si>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</si>
  <si>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</si>
  <si>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</si>
  <si>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</si>
  <si>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</si>
  <si>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</si>
  <si>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</si>
  <si>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</si>
  <si>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</si>
  <si>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</si>
  <si>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Day of week</t>
  </si>
  <si>
    <t>Sunday</t>
  </si>
  <si>
    <t>Monday</t>
  </si>
  <si>
    <t>Tuesday</t>
  </si>
  <si>
    <t>Wednesday</t>
  </si>
  <si>
    <t>Thursday</t>
  </si>
  <si>
    <t>Friday</t>
  </si>
  <si>
    <t>Saturday</t>
  </si>
  <si>
    <t>For graph</t>
  </si>
  <si>
    <t>Selected rep</t>
  </si>
  <si>
    <t>Rep</t>
  </si>
  <si>
    <t>Call</t>
  </si>
  <si>
    <t>Amount</t>
  </si>
  <si>
    <t>Sel.calls</t>
  </si>
  <si>
    <t>Sel.amount</t>
  </si>
  <si>
    <t>Representative</t>
  </si>
  <si>
    <t>R01</t>
  </si>
  <si>
    <t>R02</t>
  </si>
  <si>
    <t>R03</t>
  </si>
  <si>
    <t>R04</t>
  </si>
  <si>
    <t>R05</t>
  </si>
  <si>
    <t>Gender</t>
  </si>
  <si>
    <t>City</t>
  </si>
  <si>
    <t>Female</t>
  </si>
  <si>
    <t>Male</t>
  </si>
  <si>
    <t>Cincinnati</t>
  </si>
  <si>
    <t>Rep summary</t>
  </si>
  <si>
    <t>Cleveland</t>
  </si>
  <si>
    <t>Columbus</t>
  </si>
  <si>
    <t>% of calls</t>
  </si>
  <si>
    <t>calls</t>
  </si>
  <si>
    <t>amount</t>
  </si>
  <si>
    <t>Call rank</t>
  </si>
  <si>
    <t>Amount rank</t>
  </si>
  <si>
    <t>Labels:</t>
  </si>
  <si>
    <t>Rating rounded</t>
  </si>
  <si>
    <t>Count of Customer ID</t>
  </si>
  <si>
    <t>image:</t>
  </si>
  <si>
    <t>Customer ID</t>
  </si>
  <si>
    <t>C0003</t>
  </si>
  <si>
    <t>C0004</t>
  </si>
  <si>
    <t>C0011</t>
  </si>
  <si>
    <t>C0012</t>
  </si>
  <si>
    <t>C0002</t>
  </si>
  <si>
    <t>C0007</t>
  </si>
  <si>
    <t>C0008</t>
  </si>
  <si>
    <t>C0010</t>
  </si>
  <si>
    <t>C0013</t>
  </si>
  <si>
    <t>C0015</t>
  </si>
  <si>
    <t>C0001</t>
  </si>
  <si>
    <t>C0005</t>
  </si>
  <si>
    <t>C0006</t>
  </si>
  <si>
    <t>C0009</t>
  </si>
  <si>
    <t>C0014</t>
  </si>
  <si>
    <t>Call Centre Data</t>
  </si>
  <si>
    <t>Call number</t>
  </si>
  <si>
    <t>Age</t>
  </si>
  <si>
    <t>Duration</t>
  </si>
  <si>
    <t>Date of Call</t>
  </si>
  <si>
    <t>Purchase Amount</t>
  </si>
  <si>
    <t>Satisfaction Rating</t>
  </si>
  <si>
    <t>FY</t>
  </si>
  <si>
    <t>Duration Bucket</t>
  </si>
  <si>
    <t>5* Calls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</si>
  <si>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</si>
  <si>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</si>
  <si>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</si>
  <si>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</si>
  <si>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</si>
  <si>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</si>
  <si>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</si>
  <si>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</si>
  <si>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</si>
  <si>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</si>
  <si>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</si>
  <si>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</si>
  <si>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</si>
  <si>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</si>
  <si>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</si>
  <si>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</si>
  <si>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</si>
  <si>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</si>
  <si>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</si>
  <si>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</si>
  <si>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</si>
  <si>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</si>
  <si>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</si>
  <si>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</si>
  <si>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</si>
  <si>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</si>
  <si>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</si>
  <si>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</si>
  <si>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</si>
  <si>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</si>
  <si>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</si>
  <si>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</si>
  <si>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</si>
  <si>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</si>
  <si>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</si>
  <si>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</si>
  <si>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</si>
  <si>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</si>
  <si>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</si>
  <si>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</si>
  <si>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</si>
  <si>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</si>
  <si>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</si>
  <si>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</si>
  <si>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</si>
  <si>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</si>
  <si>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</si>
  <si>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</si>
  <si>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</si>
  <si>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</si>
  <si>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</si>
  <si>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</si>
  <si>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</si>
  <si>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</si>
  <si>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</si>
  <si>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</si>
  <si>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</si>
  <si>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</si>
  <si>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</si>
  <si>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</si>
  <si>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</si>
  <si>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</si>
  <si>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</si>
  <si>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</si>
  <si>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</si>
  <si>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</si>
  <si>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</si>
  <si>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</si>
  <si>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</si>
  <si>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</si>
  <si>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</si>
  <si>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</si>
  <si>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</si>
  <si>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</si>
  <si>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</si>
  <si>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</si>
  <si>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</si>
  <si>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</si>
  <si>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</si>
  <si>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</si>
  <si>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</si>
  <si>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</si>
  <si>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</si>
  <si>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</si>
  <si>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</si>
  <si>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</si>
  <si>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</si>
  <si>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</si>
  <si>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</si>
  <si>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</si>
  <si>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</si>
  <si>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</si>
  <si>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</si>
  <si>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</si>
  <si>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</si>
  <si>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</si>
  <si>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</si>
  <si>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</si>
  <si>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</si>
  <si>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</si>
  <si>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</si>
  <si>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</si>
  <si>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</si>
  <si>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</si>
  <si>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</si>
  <si>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</si>
  <si>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</si>
  <si>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</si>
  <si>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</si>
  <si>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</si>
  <si>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</si>
  <si>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</si>
  <si>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</si>
  <si>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</si>
  <si>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</si>
  <si>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</si>
  <si>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</si>
  <si>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</si>
  <si>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</si>
  <si>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</si>
  <si>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</si>
  <si>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</si>
  <si>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</si>
  <si>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</si>
  <si>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</si>
  <si>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</si>
  <si>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</si>
  <si>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</si>
  <si>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</si>
  <si>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</si>
  <si>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</si>
  <si>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</si>
  <si>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</si>
  <si>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</si>
  <si>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</si>
  <si>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</si>
  <si>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</si>
  <si>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</si>
  <si>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</si>
  <si>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</si>
  <si>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</si>
  <si>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</si>
  <si>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</si>
  <si>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</si>
  <si>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</si>
  <si>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</si>
  <si>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</si>
  <si>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</si>
  <si>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</si>
  <si>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</si>
  <si>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</si>
  <si>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</si>
  <si>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</si>
  <si>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</si>
  <si>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</si>
  <si>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</si>
  <si>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</si>
  <si>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</si>
  <si>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</si>
  <si>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</si>
  <si>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</si>
  <si>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</si>
  <si>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</si>
  <si>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</si>
  <si>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</si>
  <si>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</si>
  <si>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</si>
  <si>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</si>
  <si>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</si>
  <si>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</si>
  <si>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</si>
  <si>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</si>
  <si>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</si>
  <si>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</si>
  <si>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</si>
  <si>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</si>
  <si>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</si>
  <si>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</si>
  <si>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</si>
  <si>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</si>
  <si>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</si>
  <si>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</si>
  <si>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</si>
  <si>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</si>
  <si>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</si>
  <si>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</si>
  <si>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</si>
  <si>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</si>
  <si>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</si>
  <si>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</si>
  <si>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</si>
  <si>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</si>
  <si>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</si>
  <si>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</si>
  <si>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</si>
  <si>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</si>
  <si>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</si>
  <si>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</si>
  <si>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</si>
  <si>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</si>
  <si>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</si>
  <si>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</si>
  <si>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</si>
  <si>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</si>
  <si>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</si>
  <si>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</si>
  <si>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</si>
  <si>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</si>
  <si>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</si>
  <si>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</si>
  <si>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</si>
  <si>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</si>
  <si>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</si>
  <si>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</si>
  <si>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</si>
  <si>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</si>
  <si>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</si>
  <si>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</si>
  <si>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</si>
  <si>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</si>
  <si>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</si>
  <si>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</si>
  <si>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</si>
  <si>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</si>
  <si>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</si>
  <si>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</si>
  <si>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</si>
  <si>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</si>
  <si>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</si>
  <si>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</si>
  <si>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</si>
  <si>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</si>
  <si>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</si>
  <si>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</si>
  <si>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</si>
  <si>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</si>
  <si>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</si>
  <si>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</si>
  <si>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</si>
  <si>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</si>
  <si>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</si>
  <si>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</si>
  <si>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</si>
  <si>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</si>
  <si>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</si>
  <si>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</si>
  <si>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</si>
  <si>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</si>
  <si>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</si>
  <si>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</si>
  <si>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</si>
  <si>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</si>
  <si>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</si>
  <si>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</si>
  <si>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</si>
  <si>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</si>
  <si>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</si>
  <si>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</si>
  <si>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</si>
  <si>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</si>
  <si>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</si>
  <si>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</si>
  <si>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</si>
  <si>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</si>
  <si>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</si>
  <si>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</si>
  <si>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</si>
  <si>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</si>
  <si>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</si>
  <si>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</si>
  <si>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</si>
  <si>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</si>
  <si>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</si>
  <si>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</si>
  <si>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</si>
  <si>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</si>
  <si>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</si>
  <si>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</si>
  <si>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</si>
  <si>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</si>
  <si>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</si>
  <si>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</si>
  <si>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</si>
  <si>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</si>
  <si>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</si>
  <si>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</si>
  <si>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</si>
  <si>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</si>
  <si>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</si>
  <si>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</si>
  <si>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</si>
  <si>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</si>
  <si>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</si>
  <si>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</si>
  <si>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</si>
  <si>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</si>
  <si>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</si>
  <si>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</si>
  <si>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</si>
  <si>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</si>
  <si>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</si>
  <si>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</si>
  <si>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</si>
  <si>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</si>
  <si>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</si>
  <si>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</si>
  <si>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</si>
  <si>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</si>
  <si>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</si>
  <si>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</si>
  <si>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</si>
  <si>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</si>
  <si>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</si>
  <si>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</si>
  <si>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</si>
  <si>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</si>
  <si>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</si>
  <si>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</si>
  <si>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</si>
  <si>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</si>
  <si>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</si>
  <si>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</si>
  <si>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</si>
  <si>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</si>
  <si>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</si>
  <si>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</si>
  <si>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</si>
  <si>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</si>
  <si>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</si>
  <si>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</si>
  <si>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</si>
  <si>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</si>
  <si>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</si>
  <si>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</si>
  <si>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</si>
  <si>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</si>
  <si>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</si>
  <si>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</si>
  <si>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</si>
  <si>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</si>
  <si>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</si>
  <si>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</si>
  <si>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</si>
  <si>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</si>
  <si>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</si>
  <si>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</si>
  <si>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</si>
  <si>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</si>
  <si>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</si>
  <si>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</si>
  <si>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</si>
  <si>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</si>
  <si>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</si>
  <si>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</si>
  <si>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</si>
  <si>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</si>
  <si>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</si>
  <si>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</si>
  <si>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</si>
  <si>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</si>
  <si>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</si>
  <si>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</si>
  <si>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</si>
  <si>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</si>
  <si>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</si>
  <si>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</si>
  <si>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</si>
  <si>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</si>
  <si>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</si>
  <si>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</si>
  <si>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</si>
  <si>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</si>
  <si>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</si>
  <si>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</si>
  <si>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</si>
  <si>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</si>
  <si>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</si>
  <si>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</si>
  <si>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</si>
  <si>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</si>
  <si>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</si>
  <si>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</si>
  <si>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</si>
  <si>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</si>
  <si>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</si>
  <si>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</si>
  <si>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</si>
  <si>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</si>
  <si>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</si>
  <si>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</si>
  <si>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</si>
  <si>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</si>
  <si>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</si>
  <si>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</si>
  <si>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</si>
  <si>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</si>
  <si>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</si>
  <si>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</si>
  <si>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</si>
  <si>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</si>
  <si>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</si>
  <si>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</si>
  <si>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</si>
  <si>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</si>
  <si>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</si>
  <si>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</si>
  <si>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</si>
  <si>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</si>
  <si>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</si>
  <si>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</si>
  <si>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</si>
  <si>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</si>
  <si>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</si>
  <si>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</si>
  <si>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</si>
  <si>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</si>
  <si>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</si>
  <si>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</si>
  <si>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</si>
  <si>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</si>
  <si>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</si>
  <si>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</si>
  <si>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</si>
  <si>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</si>
  <si>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</si>
  <si>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</si>
  <si>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</si>
  <si>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</si>
  <si>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</si>
  <si>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</si>
  <si>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</si>
  <si>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</si>
  <si>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</si>
  <si>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</si>
  <si>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</si>
  <si>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</si>
  <si>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</si>
  <si>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</si>
  <si>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</si>
  <si>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</si>
  <si>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</si>
  <si>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</si>
  <si>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</si>
  <si>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</si>
  <si>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</si>
  <si>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</si>
  <si>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</si>
  <si>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</si>
  <si>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</si>
  <si>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</si>
  <si>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</si>
  <si>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</si>
  <si>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</si>
  <si>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</si>
  <si>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</si>
  <si>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</si>
  <si>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</si>
  <si>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</si>
  <si>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</si>
  <si>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</si>
  <si>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</si>
  <si>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</si>
  <si>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</si>
  <si>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</si>
  <si>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</si>
  <si>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</si>
  <si>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</si>
  <si>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</si>
  <si>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</si>
  <si>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</si>
  <si>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</si>
  <si>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</si>
  <si>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</si>
  <si>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</si>
  <si>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</si>
  <si>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</si>
  <si>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</si>
  <si>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</si>
  <si>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</si>
  <si>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</si>
  <si>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</si>
  <si>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</si>
  <si>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</si>
  <si>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</si>
  <si>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</si>
  <si>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</si>
  <si>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</si>
  <si>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</si>
  <si>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</si>
  <si>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</si>
  <si>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</si>
  <si>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</si>
  <si>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</si>
  <si>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</si>
  <si>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</si>
  <si>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</si>
  <si>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</si>
  <si>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</si>
  <si>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</si>
  <si>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</si>
  <si>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</si>
  <si>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</si>
  <si>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</si>
  <si>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</si>
  <si>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</si>
  <si>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</si>
  <si>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</si>
  <si>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</si>
  <si>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</si>
  <si>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</si>
  <si>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</si>
  <si>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</si>
  <si>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</si>
  <si>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</si>
  <si>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</si>
  <si>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</si>
  <si>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</si>
  <si>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</si>
  <si>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</si>
  <si>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</si>
  <si>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</si>
  <si>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</si>
  <si>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</si>
  <si>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</si>
  <si>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</si>
  <si>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</si>
  <si>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</si>
  <si>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</si>
  <si>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</si>
  <si>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</si>
  <si>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</si>
  <si>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</si>
  <si>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</si>
  <si>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</si>
  <si>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</si>
  <si>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</si>
  <si>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</si>
  <si>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</si>
  <si>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</si>
  <si>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</si>
  <si>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</si>
  <si>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</si>
  <si>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</si>
  <si>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</si>
  <si>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</si>
  <si>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</si>
  <si>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</si>
  <si>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</si>
  <si>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</si>
  <si>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</si>
  <si>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</si>
  <si>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</si>
  <si>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</si>
  <si>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</si>
  <si>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</si>
  <si>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</si>
  <si>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</si>
  <si>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</si>
  <si>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</si>
  <si>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</si>
  <si>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</si>
  <si>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</si>
  <si>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</si>
  <si>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</si>
  <si>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</si>
  <si>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</si>
  <si>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</si>
  <si>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</si>
  <si>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</si>
  <si>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</si>
  <si>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</si>
  <si>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</si>
  <si>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</si>
  <si>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</si>
  <si>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</si>
  <si>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</si>
  <si>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</si>
  <si>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</si>
  <si>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</si>
  <si>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</si>
  <si>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</si>
  <si>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</si>
  <si>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</si>
  <si>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</si>
  <si>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</si>
  <si>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</si>
  <si>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</si>
  <si>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</si>
  <si>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</si>
  <si>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</si>
  <si>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</si>
  <si>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</si>
  <si>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</si>
  <si>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</si>
  <si>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</si>
  <si>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</si>
  <si>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</si>
  <si>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</si>
  <si>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</si>
  <si>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</si>
  <si>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</si>
  <si>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</si>
  <si>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</si>
  <si>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</si>
  <si>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</si>
  <si>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</si>
  <si>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</si>
  <si>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</si>
  <si>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</si>
  <si>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</si>
  <si>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</si>
  <si>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</si>
  <si>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</si>
  <si>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</si>
  <si>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</si>
  <si>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</si>
  <si>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</si>
  <si>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</si>
  <si>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</si>
  <si>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</si>
  <si>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</si>
  <si>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</si>
  <si>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</si>
  <si>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</si>
  <si>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</si>
  <si>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</si>
  <si>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</si>
  <si>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</si>
  <si>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</si>
  <si>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</si>
  <si>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</si>
  <si>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</si>
  <si>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</si>
  <si>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</si>
  <si>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</si>
  <si>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</si>
  <si>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</si>
  <si>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</si>
  <si>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</si>
  <si>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</si>
  <si>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</si>
  <si>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</si>
  <si>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</si>
  <si>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</si>
  <si>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</si>
  <si>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</si>
  <si>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</si>
  <si>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</si>
  <si>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</si>
  <si>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</si>
  <si>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</si>
  <si>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</si>
  <si>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</si>
  <si>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</si>
  <si>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</si>
  <si>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</si>
  <si>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</si>
  <si>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</si>
  <si>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</si>
  <si>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</si>
  <si>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</si>
  <si>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</si>
  <si>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</si>
  <si>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</si>
  <si>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</si>
  <si>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</si>
  <si>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</si>
  <si>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</si>
  <si>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</si>
  <si>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</si>
  <si>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</si>
  <si>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</si>
  <si>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</si>
  <si>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</si>
  <si>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</si>
  <si>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</si>
  <si>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</si>
  <si>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</si>
  <si>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</si>
  <si>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</si>
  <si>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</si>
  <si>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</si>
  <si>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</si>
  <si>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</si>
  <si>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</si>
  <si>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</si>
  <si>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</si>
  <si>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</si>
  <si>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</si>
  <si>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</si>
  <si>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</si>
  <si>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</si>
  <si>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</si>
  <si>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</si>
  <si>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</si>
  <si>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</si>
  <si>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</si>
  <si>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</si>
  <si>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</si>
  <si>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</si>
  <si>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</si>
  <si>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</si>
  <si>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</si>
  <si>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</si>
  <si>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</si>
  <si>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</si>
  <si>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</si>
  <si>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</si>
  <si>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</si>
  <si>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</si>
  <si>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</si>
  <si>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</si>
  <si>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</si>
  <si>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</si>
  <si>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</si>
  <si>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</si>
  <si>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</si>
  <si>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</si>
  <si>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</si>
  <si>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</si>
  <si>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</si>
  <si>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</si>
  <si>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</si>
  <si>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</si>
  <si>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</si>
  <si>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</si>
  <si>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</si>
  <si>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</si>
  <si>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</si>
  <si>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</si>
  <si>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</si>
  <si>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</si>
  <si>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</si>
  <si>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</si>
  <si>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</si>
  <si>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</si>
  <si>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</si>
  <si>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</si>
  <si>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</si>
  <si>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</si>
  <si>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</si>
  <si>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</si>
  <si>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</si>
  <si>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</si>
  <si>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</si>
  <si>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</si>
  <si>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</si>
  <si>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</si>
  <si>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</si>
  <si>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</si>
  <si>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</si>
  <si>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</si>
  <si>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</si>
  <si>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</si>
  <si>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</si>
  <si>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</si>
  <si>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</si>
  <si>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</si>
  <si>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</si>
  <si>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</si>
  <si>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</si>
  <si>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</si>
  <si>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</si>
  <si>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</si>
  <si>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</si>
  <si>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</si>
  <si>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</si>
  <si>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</si>
  <si>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</si>
  <si>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</si>
  <si>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</si>
  <si>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</si>
  <si>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</si>
  <si>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</si>
  <si>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</si>
  <si>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</si>
  <si>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</si>
  <si>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</si>
  <si>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</si>
  <si>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</si>
  <si>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</si>
  <si>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</si>
  <si>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</si>
  <si>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</si>
  <si>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</si>
  <si>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</si>
  <si>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</si>
  <si>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</si>
  <si>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</si>
  <si>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</si>
  <si>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</si>
  <si>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</si>
  <si>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</si>
  <si>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</si>
  <si>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</si>
  <si>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</si>
  <si>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</si>
  <si>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</si>
  <si>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</si>
  <si>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</si>
  <si>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</si>
  <si>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</si>
  <si>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</si>
  <si>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</si>
  <si>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</si>
  <si>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</si>
  <si>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</si>
  <si>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</si>
  <si>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</si>
  <si>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</si>
  <si>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</si>
  <si>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</si>
  <si>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</si>
  <si>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</si>
  <si>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</si>
  <si>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</si>
  <si>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</si>
  <si>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</si>
  <si>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</si>
  <si>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</si>
  <si>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</si>
  <si>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</si>
  <si>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</si>
  <si>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</si>
  <si>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</si>
  <si>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</si>
  <si>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</si>
  <si>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</si>
  <si>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</si>
  <si>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</si>
  <si>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</si>
  <si>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</si>
  <si>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</si>
  <si>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</si>
  <si>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</si>
  <si>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</si>
  <si>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</si>
  <si>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</si>
  <si>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</si>
  <si>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</si>
  <si>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</si>
  <si>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</si>
  <si>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</si>
  <si>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</si>
  <si>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</si>
  <si>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</si>
  <si>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</si>
  <si>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</si>
  <si>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</si>
  <si>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</si>
  <si>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</si>
  <si>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</si>
  <si>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</si>
  <si>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</si>
  <si>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</si>
  <si>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</si>
  <si>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</si>
  <si>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</si>
  <si>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</si>
  <si>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</si>
  <si>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</si>
  <si>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</si>
  <si>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</si>
  <si>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</si>
  <si>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</si>
  <si>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</si>
  <si>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</si>
  <si>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</si>
  <si>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</si>
  <si>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</si>
  <si>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</si>
  <si>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</si>
  <si>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</si>
  <si>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</si>
  <si>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</si>
  <si>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</si>
  <si>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</si>
  <si>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</si>
  <si>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</si>
  <si>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</si>
  <si>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</si>
  <si>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</si>
  <si>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</si>
  <si>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</si>
  <si>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</si>
  <si>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</si>
  <si>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</si>
  <si>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</si>
  <si>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</si>
  <si>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</si>
  <si>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</si>
  <si>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</si>
  <si>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</si>
  <si>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</si>
  <si>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</si>
  <si>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</si>
  <si>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</si>
  <si>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</si>
  <si>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</si>
  <si>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</si>
  <si>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</si>
  <si>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</si>
  <si>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</si>
  <si>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</si>
  <si>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</si>
  <si>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</si>
  <si>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</si>
  <si>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</si>
  <si>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</si>
  <si>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</si>
  <si>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</si>
  <si>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</si>
  <si>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</si>
  <si>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</si>
  <si>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</si>
  <si>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</si>
  <si>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</si>
  <si>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</si>
  <si>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</si>
  <si>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</si>
  <si>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</si>
  <si>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</si>
  <si>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</si>
  <si>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</si>
  <si>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</si>
  <si>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</si>
  <si>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</si>
  <si>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</si>
  <si>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</si>
  <si>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</si>
  <si>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</si>
  <si>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</si>
  <si>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</si>
  <si>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</si>
  <si>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</si>
  <si>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</si>
  <si>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</si>
  <si>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</si>
  <si>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</si>
  <si>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</si>
  <si>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</si>
  <si>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</si>
  <si>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</si>
  <si>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</si>
  <si>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</si>
  <si>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</si>
  <si>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</si>
  <si>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</si>
  <si>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</si>
  <si>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</si>
  <si>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</si>
  <si>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</si>
  <si>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</si>
  <si>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</si>
  <si>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</si>
  <si>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</si>
  <si>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</si>
  <si>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</si>
  <si>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</si>
  <si>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</si>
  <si>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</si>
  <si>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</si>
  <si>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</si>
  <si>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</si>
  <si>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</si>
  <si>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</si>
  <si>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</si>
  <si>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</si>
  <si>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</si>
  <si>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</si>
  <si>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</si>
  <si>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</si>
  <si>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</si>
  <si>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</si>
  <si>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</si>
  <si>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</si>
  <si>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</si>
  <si>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</si>
  <si>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</si>
  <si>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</si>
  <si>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</si>
  <si>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</si>
  <si>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</si>
  <si>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</si>
  <si>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</si>
  <si>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</si>
  <si>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</si>
  <si>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</si>
  <si>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</si>
  <si>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</si>
  <si>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</si>
  <si>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</si>
  <si>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</si>
  <si>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</si>
  <si>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</si>
  <si>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</si>
  <si>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</si>
  <si>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</si>
  <si>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</si>
  <si>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</si>
  <si>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Rep ID</t>
  </si>
  <si>
    <t>Rep Image</t>
  </si>
  <si>
    <t>1 to 2 hours</t>
  </si>
  <si>
    <t>More than 2 hours</t>
  </si>
  <si>
    <t>30 to 60 mins</t>
  </si>
  <si>
    <t>10 to 30 mins</t>
  </si>
  <si>
    <t>Under 10 mins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</si>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</sst>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$-C09]#,##0;\-[$$-C09]#,##0"/>
    <numFmt numFmtId="181" formatCode="0_);[Red]\(0\)"/>
    <numFmt numFmtId="182" formatCode="0.0"/>
    <numFmt numFmtId="183" formatCode="_ * #,##0_ ;_ * \-#,##0_ ;_ * &quot;-&quot;??_ ;_ @_ "/>
    <numFmt numFmtId="184" formatCode="_-[$$-409]* #,##0_ ;_-[$$-409]* \-#,##0\ ;_-[$$-409]* &quot;-&quot;??_ ;_-@_ "/>
    <numFmt numFmtId="185" formatCode="dd/mm/yyyy"/>
    <numFmt numFmtId="186" formatCode="[$-409]d/mmm/yy;@"/>
    <numFmt numFmtId="187" formatCode="&quot;$&quot;#,###&quot;k&quot;"/>
    <numFmt numFmtId="188" formatCode="[$$-C09]#,##0.00;\-[$$-C09]#,##0.00"/>
    <numFmt numFmtId="189" formatCode="[$$-C09]#,##0.00;\-[$$-C09]#,##0.00"/>
  </numFmts>
  <fonts count="32">
    <font>
      <sz val="11"/>
      <color theme="1"/>
      <name val="Cambria"/>
      <charset val="134"/>
      <scheme val="minor"/>
    </font>
    <font>
      <b/>
      <sz val="28"/>
      <color theme="0"/>
      <name val="Arial Black"/>
      <charset val="134"/>
    </font>
    <font>
      <b/>
      <sz val="36"/>
      <color theme="0"/>
      <name val="Arial Black"/>
      <charset val="134"/>
    </font>
    <font>
      <sz val="10"/>
      <color theme="8"/>
      <name val="Cambria"/>
      <charset val="134"/>
      <scheme val="minor"/>
    </font>
    <font>
      <sz val="22"/>
      <color theme="0"/>
      <name val="Arial Black"/>
      <charset val="134"/>
    </font>
    <font>
      <sz val="36"/>
      <color theme="1"/>
      <name val="Cambria"/>
      <charset val="134"/>
      <scheme val="minor"/>
    </font>
    <font>
      <b/>
      <sz val="20"/>
      <color theme="0"/>
      <name val="Arial Black"/>
      <charset val="134"/>
    </font>
    <font>
      <sz val="28"/>
      <color theme="1"/>
      <name val="Cambria"/>
      <charset val="134"/>
      <scheme val="minor"/>
    </font>
    <font>
      <sz val="24"/>
      <color theme="0"/>
      <name val="Arial Black"/>
      <charset val="134"/>
    </font>
    <font>
      <sz val="11"/>
      <color theme="0"/>
      <name val="Cambria"/>
      <charset val="134"/>
      <scheme val="minor"/>
    </font>
    <font>
      <b/>
      <sz val="11"/>
      <color theme="1"/>
      <name val="Cambria"/>
      <charset val="134"/>
      <scheme val="minor"/>
    </font>
    <font>
      <sz val="10"/>
      <color theme="1"/>
      <name val="Cambria"/>
      <charset val="134"/>
      <scheme val="minor"/>
    </font>
    <font>
      <sz val="18"/>
      <color theme="1"/>
      <name val="Aptos ExtraBold"/>
      <charset val="134"/>
    </font>
    <font>
      <u/>
      <sz val="11"/>
      <color rgb="FF0000FF"/>
      <name val="Cambria"/>
      <charset val="0"/>
      <scheme val="minor"/>
    </font>
    <font>
      <u/>
      <sz val="11"/>
      <color rgb="FF800080"/>
      <name val="Cambria"/>
      <charset val="0"/>
      <scheme val="minor"/>
    </font>
    <font>
      <sz val="11"/>
      <color rgb="FFFF0000"/>
      <name val="Cambria"/>
      <charset val="0"/>
      <scheme val="minor"/>
    </font>
    <font>
      <b/>
      <sz val="18"/>
      <color theme="3"/>
      <name val="Cambria"/>
      <charset val="134"/>
      <scheme val="minor"/>
    </font>
    <font>
      <i/>
      <sz val="11"/>
      <color rgb="FF7F7F7F"/>
      <name val="Cambria"/>
      <charset val="0"/>
      <scheme val="minor"/>
    </font>
    <font>
      <b/>
      <sz val="15"/>
      <color theme="3"/>
      <name val="Cambria"/>
      <charset val="134"/>
      <scheme val="minor"/>
    </font>
    <font>
      <b/>
      <sz val="13"/>
      <color theme="3"/>
      <name val="Cambria"/>
      <charset val="134"/>
      <scheme val="minor"/>
    </font>
    <font>
      <b/>
      <sz val="11"/>
      <color theme="3"/>
      <name val="Cambria"/>
      <charset val="134"/>
      <scheme val="minor"/>
    </font>
    <font>
      <sz val="11"/>
      <color rgb="FF3F3F76"/>
      <name val="Cambria"/>
      <charset val="0"/>
      <scheme val="minor"/>
    </font>
    <font>
      <b/>
      <sz val="11"/>
      <color rgb="FF3F3F3F"/>
      <name val="Cambria"/>
      <charset val="0"/>
      <scheme val="minor"/>
    </font>
    <font>
      <b/>
      <sz val="11"/>
      <color rgb="FFFA7D00"/>
      <name val="Cambria"/>
      <charset val="0"/>
      <scheme val="minor"/>
    </font>
    <font>
      <b/>
      <sz val="11"/>
      <color rgb="FFFFFFFF"/>
      <name val="Cambria"/>
      <charset val="0"/>
      <scheme val="minor"/>
    </font>
    <font>
      <sz val="11"/>
      <color rgb="FFFA7D00"/>
      <name val="Cambria"/>
      <charset val="0"/>
      <scheme val="minor"/>
    </font>
    <font>
      <b/>
      <sz val="11"/>
      <color theme="1"/>
      <name val="Cambria"/>
      <charset val="0"/>
      <scheme val="minor"/>
    </font>
    <font>
      <sz val="11"/>
      <color rgb="FF006100"/>
      <name val="Cambria"/>
      <charset val="0"/>
      <scheme val="minor"/>
    </font>
    <font>
      <sz val="11"/>
      <color rgb="FF9C0006"/>
      <name val="Cambria"/>
      <charset val="0"/>
      <scheme val="minor"/>
    </font>
    <font>
      <sz val="11"/>
      <color rgb="FF9C6500"/>
      <name val="Cambria"/>
      <charset val="0"/>
      <scheme val="minor"/>
    </font>
    <font>
      <sz val="11"/>
      <color theme="0"/>
      <name val="Cambria"/>
      <charset val="0"/>
      <scheme val="minor"/>
    </font>
    <font>
      <sz val="11"/>
      <color theme="1"/>
      <name val="Cambria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26" applyNumberFormat="0" applyAlignment="0" applyProtection="0">
      <alignment vertical="center"/>
    </xf>
    <xf numFmtId="0" fontId="22" fillId="7" borderId="27" applyNumberFormat="0" applyAlignment="0" applyProtection="0">
      <alignment vertical="center"/>
    </xf>
    <xf numFmtId="0" fontId="23" fillId="7" borderId="26" applyNumberFormat="0" applyAlignment="0" applyProtection="0">
      <alignment vertical="center"/>
    </xf>
    <xf numFmtId="0" fontId="24" fillId="8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>
      <alignment horizontal="center"/>
    </xf>
    <xf numFmtId="180" fontId="1" fillId="2" borderId="0" xfId="0" applyNumberFormat="1" applyFont="1" applyFill="1" applyAlignment="1">
      <alignment horizontal="center"/>
    </xf>
    <xf numFmtId="181" fontId="1" fillId="2" borderId="0" xfId="0" applyNumberFormat="1" applyFont="1" applyFill="1" applyAlignment="1">
      <alignment horizontal="center"/>
    </xf>
    <xf numFmtId="182" fontId="1" fillId="2" borderId="0" xfId="0" applyNumberFormat="1" applyFont="1" applyFill="1" applyAlignment="1">
      <alignment horizontal="center"/>
    </xf>
    <xf numFmtId="0" fontId="3" fillId="0" borderId="0" xfId="0" applyFont="1" applyFill="1" applyAlignment="1"/>
    <xf numFmtId="0" fontId="4" fillId="3" borderId="0" xfId="0" applyFont="1" applyFill="1" applyAlignment="1">
      <alignment horizontal="center"/>
    </xf>
    <xf numFmtId="0" fontId="5" fillId="0" borderId="0" xfId="0" applyFont="1" applyFill="1" applyAlignment="1">
      <alignment vertical="center"/>
    </xf>
    <xf numFmtId="180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80" fontId="7" fillId="0" borderId="0" xfId="0" applyNumberFormat="1" applyFont="1" applyFill="1" applyAlignment="1">
      <alignment vertical="center"/>
    </xf>
    <xf numFmtId="183" fontId="7" fillId="0" borderId="0" xfId="0" applyNumberFormat="1" applyFont="1" applyFill="1" applyAlignment="1">
      <alignment vertical="center"/>
    </xf>
    <xf numFmtId="182" fontId="8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ont="1" applyFill="1" applyBorder="1"/>
    <xf numFmtId="0" fontId="0" fillId="0" borderId="2" xfId="0" applyFont="1" applyFill="1" applyBorder="1"/>
    <xf numFmtId="0" fontId="10" fillId="0" borderId="2" xfId="0" applyFont="1" applyFill="1" applyBorder="1"/>
    <xf numFmtId="0" fontId="10" fillId="0" borderId="3" xfId="0" applyFont="1" applyFill="1" applyBorder="1"/>
    <xf numFmtId="0" fontId="10" fillId="0" borderId="4" xfId="0" applyFont="1" applyFill="1" applyBorder="1"/>
    <xf numFmtId="0" fontId="11" fillId="0" borderId="0" xfId="0" applyFont="1" applyFill="1" applyBorder="1"/>
    <xf numFmtId="0" fontId="11" fillId="0" borderId="5" xfId="0" applyFont="1" applyFill="1" applyBorder="1"/>
    <xf numFmtId="0" fontId="0" fillId="0" borderId="4" xfId="0" applyFont="1" applyFill="1" applyBorder="1"/>
    <xf numFmtId="0" fontId="11" fillId="0" borderId="0" xfId="0" applyFont="1" applyFill="1" applyBorder="1" applyAlignment="1">
      <alignment horizontal="distributed"/>
    </xf>
    <xf numFmtId="184" fontId="11" fillId="0" borderId="0" xfId="0" applyNumberFormat="1" applyFont="1" applyFill="1" applyBorder="1"/>
    <xf numFmtId="184" fontId="11" fillId="0" borderId="5" xfId="0" applyNumberFormat="1" applyFont="1" applyFill="1" applyBorder="1"/>
    <xf numFmtId="0" fontId="0" fillId="0" borderId="6" xfId="0" applyFont="1" applyFill="1" applyBorder="1"/>
    <xf numFmtId="0" fontId="11" fillId="0" borderId="7" xfId="0" applyFont="1" applyFill="1" applyBorder="1" applyAlignment="1">
      <alignment horizontal="distributed"/>
    </xf>
    <xf numFmtId="184" fontId="11" fillId="0" borderId="7" xfId="0" applyNumberFormat="1" applyFont="1" applyFill="1" applyBorder="1"/>
    <xf numFmtId="184" fontId="11" fillId="0" borderId="8" xfId="0" applyNumberFormat="1" applyFont="1" applyFill="1" applyBorder="1"/>
    <xf numFmtId="0" fontId="0" fillId="4" borderId="0" xfId="0" applyFill="1" applyAlignment="1">
      <alignment horizontal="center"/>
    </xf>
    <xf numFmtId="185" fontId="0" fillId="0" borderId="0" xfId="0" applyNumberFormat="1"/>
    <xf numFmtId="0" fontId="0" fillId="3" borderId="0" xfId="0" applyFill="1"/>
    <xf numFmtId="0" fontId="12" fillId="3" borderId="0" xfId="0" applyFont="1" applyFill="1" applyAlignment="1">
      <alignment vertical="center"/>
    </xf>
    <xf numFmtId="9" fontId="0" fillId="0" borderId="0" xfId="0" applyNumberFormat="1"/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8" xfId="0" applyFont="1" applyBorder="1"/>
    <xf numFmtId="0" fontId="10" fillId="0" borderId="9" xfId="0" applyFont="1" applyBorder="1"/>
    <xf numFmtId="0" fontId="10" fillId="0" borderId="6" xfId="0" applyFont="1" applyBorder="1"/>
    <xf numFmtId="0" fontId="0" fillId="0" borderId="0" xfId="0" applyNumberFormat="1" applyAlignment="1">
      <alignment wrapText="1"/>
    </xf>
    <xf numFmtId="2" fontId="0" fillId="0" borderId="0" xfId="0" applyNumberFormat="1" applyAlignment="1">
      <alignment horizontal="center"/>
    </xf>
    <xf numFmtId="186" fontId="0" fillId="0" borderId="0" xfId="0" applyNumberFormat="1" applyAlignment="1">
      <alignment horizontal="center"/>
    </xf>
    <xf numFmtId="0" fontId="0" fillId="0" borderId="10" xfId="0" applyBorder="1"/>
    <xf numFmtId="9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0" fillId="0" borderId="0" xfId="0" applyNumberFormat="1"/>
    <xf numFmtId="0" fontId="0" fillId="0" borderId="3" xfId="0" applyBorder="1"/>
    <xf numFmtId="9" fontId="0" fillId="0" borderId="13" xfId="0" applyNumberFormat="1" applyBorder="1"/>
    <xf numFmtId="0" fontId="0" fillId="0" borderId="13" xfId="0" applyBorder="1"/>
    <xf numFmtId="0" fontId="0" fillId="0" borderId="1" xfId="0" applyBorder="1"/>
    <xf numFmtId="183" fontId="0" fillId="0" borderId="0" xfId="1" applyNumberFormat="1" applyAlignment="1"/>
    <xf numFmtId="180" fontId="0" fillId="0" borderId="0" xfId="0" applyNumberFormat="1"/>
    <xf numFmtId="182" fontId="0" fillId="0" borderId="0" xfId="0" applyNumberFormat="1"/>
    <xf numFmtId="187" fontId="0" fillId="0" borderId="0" xfId="0" applyNumberFormat="1"/>
    <xf numFmtId="9" fontId="0" fillId="0" borderId="0" xfId="3" applyAlignment="1"/>
    <xf numFmtId="184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1">
    <dxf>
      <numFmt numFmtId="190" formatCode="[$$-C09]#,##0.0;\-[$$-C09]#,##0.0"/>
    </dxf>
    <dxf>
      <numFmt numFmtId="180" formatCode="[$$-C09]#,##0;\-[$$-C09]#,##0"/>
    </dxf>
    <dxf>
      <numFmt numFmtId="191" formatCode="_ * #,##0.0_ ;_ * \-#,##0.0_ ;_ * &quot;-&quot;??_ ;_ @_ "/>
    </dxf>
    <dxf>
      <numFmt numFmtId="183" formatCode="_ * #,##0_ ;_ * \-#,##0_ ;_ * &quot;-&quot;??_ ;_ @_ "/>
    </dxf>
    <dxf>
      <numFmt numFmtId="192" formatCode="&quot;₹&quot;#,##0.00_);[Red]\(&quot;₹&quot;#,##0.00\)"/>
    </dxf>
    <dxf>
      <numFmt numFmtId="193" formatCode="&quot;₹&quot;#,##0.00_);[Red]\(&quot;₹&quot;#,##0.00\)"/>
    </dxf>
    <dxf>
      <numFmt numFmtId="194" formatCode="&quot;₹&quot;#,##0.00_);[Red]\(&quot;₹&quot;#,##0.00\)"/>
    </dxf>
    <dxf>
      <numFmt numFmtId="195" formatCode="&quot;₹&quot;#,##0.00_);[Red]\(&quot;₹&quot;#,##0.00\)"/>
    </dxf>
    <dxf>
      <numFmt numFmtId="196" formatCode="&quot;₹&quot;#,##0.00_);[Red]\(&quot;₹&quot;#,##0.00\)"/>
    </dxf>
    <dxf>
      <numFmt numFmtId="197" formatCode="&quot;₹&quot;#,##0.00_);[Red]\(&quot;₹&quot;#,##0.00\)"/>
    </dxf>
    <dxf>
      <numFmt numFmtId="198" formatCode="&quot;₹&quot;#,##0.00_);[Red]\(&quot;₹&quot;#,##0.00\)"/>
    </dxf>
    <dxf>
      <numFmt numFmtId="199" formatCode="&quot;₹&quot;#,##0.00_);[Red]\(&quot;₹&quot;#,##0.00\)"/>
    </dxf>
    <dxf>
      <numFmt numFmtId="200" formatCode="&quot;₹&quot;#,##0.00_);[Red]\(&quot;₹&quot;#,##0.00\)"/>
    </dxf>
    <dxf>
      <numFmt numFmtId="201" formatCode="&quot;₹&quot;#,##0.00_);[Red]\(&quot;₹&quot;#,##0.00\)"/>
    </dxf>
    <dxf>
      <numFmt numFmtId="202" formatCode="&quot;₹&quot;#,##0.00_);[Red]\(&quot;₹&quot;#,##0.00\)"/>
    </dxf>
    <dxf>
      <numFmt numFmtId="203" formatCode="&quot;₹&quot;#,##0.00_);[Red]\(&quot;₹&quot;#,##0.00\)"/>
    </dxf>
    <dxf>
      <numFmt numFmtId="204" formatCode="&quot;₹&quot;#,##0.00_);[Red]\(&quot;₹&quot;#,##0.00\)"/>
    </dxf>
    <dxf>
      <numFmt numFmtId="205" formatCode="&quot;₹&quot;#,##0.00_);[Red]\(&quot;₹&quot;#,##0.00\)"/>
    </dxf>
    <dxf>
      <numFmt numFmtId="206" formatCode="&quot;₹&quot;#,##0.00_);[Red]\(&quot;₹&quot;#,##0.00\)"/>
    </dxf>
    <dxf>
      <numFmt numFmtId="207" formatCode="&quot;₹&quot;#,##0.00_);[Red]\(&quot;₹&quot;#,##0.00\)"/>
    </dxf>
    <dxf>
      <numFmt numFmtId="208" formatCode="&quot;₹&quot;#,##0.00_);[Red]\(&quot;₹&quot;#,##0.00\)"/>
    </dxf>
    <dxf>
      <numFmt numFmtId="209" formatCode="_-[$$-409]* #,##0.00_ ;_-[$$-409]* \-#,##0.00\ ;_-[$$-409]* &quot;-&quot;??_ ;_-@_ "/>
    </dxf>
    <dxf>
      <numFmt numFmtId="210" formatCode="_-[$$-409]* #,##0.00_ ;_-[$$-409]* \-#,##0.00\ ;_-[$$-409]* &quot;-&quot;??_ ;_-@_ "/>
    </dxf>
    <dxf>
      <numFmt numFmtId="211" formatCode="_-[$$-409]* #,##0.00_ ;_-[$$-409]* \-#,##0.00\ ;_-[$$-409]* &quot;-&quot;??_ ;_-@_ "/>
    </dxf>
    <dxf>
      <numFmt numFmtId="212" formatCode="_-[$$-409]* #,##0.00_ ;_-[$$-409]* \-#,##0.00\ ;_-[$$-409]* &quot;-&quot;??_ ;_-@_ "/>
    </dxf>
    <dxf>
      <numFmt numFmtId="213" formatCode="_-[$$-409]* #,##0.00_ ;_-[$$-409]* \-#,##0.00\ ;_-[$$-409]* &quot;-&quot;??_ ;_-@_ "/>
    </dxf>
    <dxf>
      <numFmt numFmtId="214" formatCode="_-[$$-409]* #,##0.00_ ;_-[$$-409]* \-#,##0.00\ ;_-[$$-409]* &quot;-&quot;??_ ;_-@_ "/>
    </dxf>
    <dxf>
      <numFmt numFmtId="215" formatCode="_-[$$-409]* #,##0.00_ ;_-[$$-409]* \-#,##0.00\ ;_-[$$-409]* &quot;-&quot;??_ ;_-@_ "/>
    </dxf>
    <dxf>
      <numFmt numFmtId="216" formatCode="_-[$$-409]* #,##0.00_ ;_-[$$-409]* \-#,##0.00\ ;_-[$$-409]* &quot;-&quot;??_ ;_-@_ "/>
    </dxf>
    <dxf>
      <numFmt numFmtId="217" formatCode="_-[$$-409]* #,##0.00_ ;_-[$$-409]* \-#,##0.00\ ;_-[$$-409]* &quot;-&quot;??_ ;_-@_ "/>
    </dxf>
    <dxf>
      <numFmt numFmtId="218" formatCode="_-[$$-409]* #,##0.00_ ;_-[$$-409]* \-#,##0.00\ ;_-[$$-409]* &quot;-&quot;??_ ;_-@_ "/>
    </dxf>
    <dxf>
      <numFmt numFmtId="219" formatCode="_-[$$-409]* #,##0.00_ ;_-[$$-409]* \-#,##0.00\ ;_-[$$-409]* &quot;-&quot;??_ ;_-@_ "/>
    </dxf>
    <dxf>
      <numFmt numFmtId="220" formatCode="_-[$$-409]* #,##0.00_ ;_-[$$-409]* \-#,##0.00\ ;_-[$$-409]* &quot;-&quot;??_ ;_-@_ "/>
    </dxf>
    <dxf>
      <numFmt numFmtId="221" formatCode="_-[$$-409]* #,##0.00_ ;_-[$$-409]* \-#,##0.00\ ;_-[$$-409]* &quot;-&quot;??_ ;_-@_ "/>
    </dxf>
    <dxf>
      <numFmt numFmtId="222" formatCode="_-[$$-409]* #,##0.00_ ;_-[$$-409]* \-#,##0.00\ ;_-[$$-409]* &quot;-&quot;??_ ;_-@_ "/>
    </dxf>
    <dxf>
      <numFmt numFmtId="223" formatCode="_-[$$-409]* #,##0.00_ ;_-[$$-409]* \-#,##0.00\ ;_-[$$-409]* &quot;-&quot;??_ ;_-@_ "/>
    </dxf>
    <dxf>
      <numFmt numFmtId="224" formatCode="_-[$$-409]* #,##0.00_ ;_-[$$-409]* \-#,##0.00\ ;_-[$$-409]* &quot;-&quot;??_ ;_-@_ "/>
    </dxf>
    <dxf>
      <numFmt numFmtId="225" formatCode="_-[$$-409]* #,##0.00_ ;_-[$$-409]* \-#,##0.00\ ;_-[$$-409]* &quot;-&quot;??_ ;_-@_ "/>
    </dxf>
    <dxf>
      <numFmt numFmtId="226" formatCode="_-[$$-409]* #,##0.0_ ;_-[$$-409]* \-#,##0.0\ ;_-[$$-409]* &quot;-&quot;??_ ;_-@_ "/>
    </dxf>
    <dxf>
      <numFmt numFmtId="227" formatCode="_-[$$-409]* #,##0.0_ ;_-[$$-409]* \-#,##0.0\ ;_-[$$-409]* &quot;-&quot;??_ ;_-@_ "/>
    </dxf>
    <dxf>
      <numFmt numFmtId="228" formatCode="_-[$$-409]* #,##0.0_ ;_-[$$-409]* \-#,##0.0\ ;_-[$$-409]* &quot;-&quot;??_ ;_-@_ "/>
    </dxf>
    <dxf>
      <numFmt numFmtId="229" formatCode="_-[$$-409]* #,##0.0_ ;_-[$$-409]* \-#,##0.0\ ;_-[$$-409]* &quot;-&quot;??_ ;_-@_ "/>
    </dxf>
    <dxf>
      <numFmt numFmtId="230" formatCode="_-[$$-409]* #,##0.0_ ;_-[$$-409]* \-#,##0.0\ ;_-[$$-409]* &quot;-&quot;??_ ;_-@_ "/>
    </dxf>
    <dxf>
      <numFmt numFmtId="231" formatCode="_-[$$-409]* #,##0.0_ ;_-[$$-409]* \-#,##0.0\ ;_-[$$-409]* &quot;-&quot;??_ ;_-@_ "/>
    </dxf>
    <dxf>
      <numFmt numFmtId="232" formatCode="_-[$$-409]* #,##0.0_ ;_-[$$-409]* \-#,##0.0\ ;_-[$$-409]* &quot;-&quot;??_ ;_-@_ "/>
    </dxf>
    <dxf>
      <numFmt numFmtId="233" formatCode="_-[$$-409]* #,##0.0_ ;_-[$$-409]* \-#,##0.0\ ;_-[$$-409]* &quot;-&quot;??_ ;_-@_ "/>
    </dxf>
    <dxf>
      <numFmt numFmtId="234" formatCode="_-[$$-409]* #,##0.0_ ;_-[$$-409]* \-#,##0.0\ ;_-[$$-409]* &quot;-&quot;??_ ;_-@_ "/>
    </dxf>
    <dxf>
      <numFmt numFmtId="235" formatCode="_-[$$-409]* #,##0.0_ ;_-[$$-409]* \-#,##0.0\ ;_-[$$-409]* &quot;-&quot;??_ ;_-@_ "/>
    </dxf>
    <dxf>
      <numFmt numFmtId="236" formatCode="_-[$$-409]* #,##0.0_ ;_-[$$-409]* \-#,##0.0\ ;_-[$$-409]* &quot;-&quot;??_ ;_-@_ "/>
    </dxf>
    <dxf>
      <numFmt numFmtId="237" formatCode="_-[$$-409]* #,##0.0_ ;_-[$$-409]* \-#,##0.0\ ;_-[$$-409]* &quot;-&quot;??_ ;_-@_ "/>
    </dxf>
    <dxf>
      <numFmt numFmtId="238" formatCode="_-[$$-409]* #,##0.0_ ;_-[$$-409]* \-#,##0.0\ ;_-[$$-409]* &quot;-&quot;??_ ;_-@_ "/>
    </dxf>
    <dxf>
      <numFmt numFmtId="239" formatCode="_-[$$-409]* #,##0.0_ ;_-[$$-409]* \-#,##0.0\ ;_-[$$-409]* &quot;-&quot;??_ ;_-@_ "/>
    </dxf>
    <dxf>
      <numFmt numFmtId="240" formatCode="_-[$$-409]* #,##0.0_ ;_-[$$-409]* \-#,##0.0\ ;_-[$$-409]* &quot;-&quot;??_ ;_-@_ "/>
    </dxf>
    <dxf>
      <numFmt numFmtId="241" formatCode="_-[$$-409]* #,##0.0_ ;_-[$$-409]* \-#,##0.0\ ;_-[$$-409]* &quot;-&quot;??_ ;_-@_ "/>
    </dxf>
    <dxf>
      <numFmt numFmtId="242" formatCode="_-[$$-409]* #,##0.0_ ;_-[$$-409]* \-#,##0.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184" formatCode="_-[$$-409]* #,##0_ ;_-[$$-409]* \-#,##0\ ;_-[$$-409]* &quot;-&quot;??_ ;_-@_ "/>
    </dxf>
    <dxf>
      <numFmt numFmtId="243" formatCode="[$$-C09]#,##0.0;\-[$$-C09]#,##0.0"/>
    </dxf>
    <dxf>
      <numFmt numFmtId="180" formatCode="[$$-C09]#,##0;\-[$$-C09]#,##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center"/>
    </dxf>
    <dxf>
      <numFmt numFmtId="186" formatCode="[$-409]d/mmm/yy;@"/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85" formatCode="dd/mm/yyyy"/>
    </dxf>
    <dxf>
      <fill>
        <patternFill patternType="solid">
          <bgColor theme="4" tint="0.6"/>
        </patternFill>
      </fill>
      <border>
        <left style="thin">
          <color theme="0" tint="-0.35"/>
        </left>
        <right style="thin">
          <color theme="0" tint="-0.35"/>
        </right>
        <top style="thin">
          <color theme="0" tint="-0.25"/>
        </top>
        <bottom style="thin">
          <color theme="0" tint="-0.25"/>
        </bottom>
      </border>
    </dxf>
    <dxf>
      <border>
        <left style="thin">
          <color theme="0" tint="-0.14996795556505"/>
        </left>
        <right style="thin">
          <color theme="0" tint="-0.14996795556505"/>
        </right>
        <top style="thin">
          <color theme="0" tint="-0.14996795556505"/>
        </top>
        <bottom style="thin">
          <color theme="0" tint="-0.14996795556505"/>
        </bottom>
      </border>
    </dxf>
  </dxfs>
  <tableStyles count="1" defaultTableStyle="TableStyleMedium2" defaultPivotStyle="PivotStyleLight16">
    <tableStyle name="Slicer Style 1" pivot="0" table="0" count="1" xr9:uid="{4D6A4F9C-A2F4-4DBD-A633-6061F16A99DE}">
      <tableStyleElement type="wholeTable" dxfId="9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3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www.wps.cn/officeDocument/2020/cellImage" Target="cellimag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[07.sample-data-excel-portfolio-project main.xlsx]Sheet3!Monthly trend</c:name>
    <c:fmtId val="0"/>
  </c:pivotSource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Sheet3!$C$29</c:f>
              <c:strCache>
                <c:ptCount val="1"/>
                <c:pt idx="0">
                  <c:v>Count of Call number2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Sheet3!$A$30:$A$42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Sheet3!$C$30:$C$42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24</c:v>
                </c:pt>
                <c:pt idx="3">
                  <c:v>12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8</c:v>
                </c:pt>
                <c:pt idx="9">
                  <c:v>14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58728"/>
        <c:axId val="446608829"/>
      </c:areaChart>
      <c:lineChart>
        <c:grouping val="stacked"/>
        <c:varyColors val="0"/>
        <c:ser>
          <c:idx val="0"/>
          <c:order val="0"/>
          <c:tx>
            <c:strRef>
              <c:f>Sheet3!$B$29</c:f>
              <c:strCache>
                <c:ptCount val="1"/>
                <c:pt idx="0">
                  <c:v>Count of Call number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Sheet3!$A$30:$A$42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Sheet3!$B$30:$B$42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24</c:v>
                </c:pt>
                <c:pt idx="3">
                  <c:v>12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8</c:v>
                </c:pt>
                <c:pt idx="9">
                  <c:v>14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58728"/>
        <c:axId val="446608829"/>
      </c:lineChart>
      <c:catAx>
        <c:axId val="129558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608829"/>
        <c:crosses val="autoZero"/>
        <c:auto val="1"/>
        <c:lblAlgn val="ctr"/>
        <c:lblOffset val="100"/>
        <c:noMultiLvlLbl val="0"/>
      </c:catAx>
      <c:valAx>
        <c:axId val="4466088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55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2080bac-64da-43f8-ad6e-fd9a09adbf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[07.sample-data-excel-portfolio-project main.xlsx]Sheet3!weekday trend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Sheet3!$A$56:$A$63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Sheet3!$B$56:$B$63</c:f>
              <c:numCache>
                <c:formatCode>General</c:formatCode>
                <c:ptCount val="7"/>
                <c:pt idx="0">
                  <c:v>27</c:v>
                </c:pt>
                <c:pt idx="1">
                  <c:v>22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32</c:v>
                </c:pt>
                <c:pt idx="6">
                  <c:v>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86608971"/>
        <c:axId val="364075279"/>
      </c:barChart>
      <c:catAx>
        <c:axId val="786608971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4075279"/>
        <c:crosses val="autoZero"/>
        <c:auto val="1"/>
        <c:lblAlgn val="ctr"/>
        <c:lblOffset val="100"/>
        <c:noMultiLvlLbl val="0"/>
      </c:catAx>
      <c:valAx>
        <c:axId val="3640752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6089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cd903e-dfab-4d1d-80f9-c00f82daf7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Sheet3!$E$77:$E$81</c:f>
              <c:strCache>
                <c:ptCount val="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</c:strCache>
            </c:strRef>
          </c:cat>
          <c:val>
            <c:numRef>
              <c:f>Sheet3!$F$77:$F$81</c:f>
              <c:numCache>
                <c:formatCode>General</c:formatCode>
                <c:ptCount val="5"/>
                <c:pt idx="0">
                  <c:v>189</c:v>
                </c:pt>
                <c:pt idx="1">
                  <c:v>218</c:v>
                </c:pt>
                <c:pt idx="2">
                  <c:v>207</c:v>
                </c:pt>
                <c:pt idx="3">
                  <c:v>186</c:v>
                </c:pt>
                <c:pt idx="4">
                  <c:v>200</c:v>
                </c:pt>
              </c:numCache>
            </c:numRef>
          </c:val>
        </c:ser>
        <c:ser>
          <c:idx val="1"/>
          <c:order val="1"/>
          <c:tx>
            <c:strRef>
              <c:f>Sheet3!$H$76</c:f>
              <c:strCache>
                <c:ptCount val="1"/>
                <c:pt idx="0">
                  <c:v>Sel.calls</c:v>
                </c:pt>
              </c:strCache>
            </c:strRef>
          </c:tx>
          <c:spPr>
            <a:gradFill>
              <a:gsLst>
                <a:gs pos="52000">
                  <a:schemeClr val="accent5"/>
                </a:gs>
                <a:gs pos="100000">
                  <a:schemeClr val="accent6">
                    <a:lumMod val="20000"/>
                    <a:lumOff val="80000"/>
                  </a:schemeClr>
                </a:gs>
              </a:gsLst>
              <a:lin ang="108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Sheet3!$E$77:$E$81</c:f>
              <c:strCache>
                <c:ptCount val="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</c:strCache>
            </c:strRef>
          </c:cat>
          <c:val>
            <c:numRef>
              <c:f>Sheet3!$H$77:$H$81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648396345"/>
        <c:axId val="126727359"/>
      </c:barChart>
      <c:catAx>
        <c:axId val="648396345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727359"/>
        <c:crosses val="autoZero"/>
        <c:auto val="1"/>
        <c:lblAlgn val="ctr"/>
        <c:lblOffset val="100"/>
        <c:noMultiLvlLbl val="0"/>
      </c:catAx>
      <c:valAx>
        <c:axId val="126727359"/>
        <c:scaling>
          <c:orientation val="minMax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839634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5998a2-0058-49a7-a50b-6bef46ffd7aa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Sheet3!$E$77:$E$81</c:f>
              <c:strCache>
                <c:ptCount val="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</c:strCache>
            </c:strRef>
          </c:cat>
          <c:val>
            <c:numRef>
              <c:f>Sheet3!$G$77:$G$81</c:f>
              <c:numCache>
                <c:formatCode>"$"#,###"k"</c:formatCode>
                <c:ptCount val="5"/>
                <c:pt idx="0">
                  <c:v>18415</c:v>
                </c:pt>
                <c:pt idx="1">
                  <c:v>20581</c:v>
                </c:pt>
                <c:pt idx="2">
                  <c:v>20872</c:v>
                </c:pt>
                <c:pt idx="3">
                  <c:v>16651</c:v>
                </c:pt>
                <c:pt idx="4">
                  <c:v>20104</c:v>
                </c:pt>
              </c:numCache>
            </c:numRef>
          </c:val>
        </c:ser>
        <c:ser>
          <c:idx val="1"/>
          <c:order val="1"/>
          <c:tx>
            <c:strRef>
              <c:f>Sheet3!$I$76</c:f>
              <c:strCache>
                <c:ptCount val="1"/>
                <c:pt idx="0">
                  <c:v>Sel.amount</c:v>
                </c:pt>
              </c:strCache>
            </c:strRef>
          </c:tx>
          <c:spPr>
            <a:gradFill>
              <a:gsLst>
                <a:gs pos="52000">
                  <a:schemeClr val="accent5"/>
                </a:gs>
                <a:gs pos="100000">
                  <a:schemeClr val="accent6">
                    <a:lumMod val="20000"/>
                    <a:lumOff val="80000"/>
                  </a:schemeClr>
                </a:gs>
              </a:gsLst>
              <a:lin ang="108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Sheet3!$E$77:$E$81</c:f>
              <c:strCache>
                <c:ptCount val="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</c:strCache>
            </c:strRef>
          </c:cat>
          <c:val>
            <c:numRef>
              <c:f>Sheet3!$I$77:$I$81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20104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793333793"/>
        <c:axId val="609348295"/>
      </c:barChart>
      <c:catAx>
        <c:axId val="793333793"/>
        <c:scaling>
          <c:orientation val="maxMin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348295"/>
        <c:crosses val="autoZero"/>
        <c:auto val="1"/>
        <c:lblAlgn val="ctr"/>
        <c:lblOffset val="100"/>
        <c:noMultiLvlLbl val="0"/>
      </c:catAx>
      <c:valAx>
        <c:axId val="609348295"/>
        <c:scaling>
          <c:orientation val="minMax"/>
        </c:scaling>
        <c:delete val="1"/>
        <c:axPos val="t"/>
        <c:numFmt formatCode="&quot;$&quot;#,###&quot;k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3337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b64edd-03b2-4d2c-8b0a-b25898545b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[07.sample-data-excel-portfolio-project main.xlsx]Sheet3!caller count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5"/>
                </a:solidFill>
              </a:rPr>
              <a:t>Female</a:t>
            </a:r>
            <a:r>
              <a:rPr lang="en-IN" altLang="en-US"/>
              <a:t> Vs. </a:t>
            </a:r>
            <a:r>
              <a:rPr lang="en-IN" altLang="en-US">
                <a:solidFill>
                  <a:schemeClr val="accent4"/>
                </a:solidFill>
              </a:rPr>
              <a:t>Male</a:t>
            </a:r>
            <a:r>
              <a:rPr lang="en-IN" altLang="en-US"/>
              <a:t> Callers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Sheet3!$D$94:$D$95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Sheet3!$C$96:$C$99</c:f>
              <c:strCache>
                <c:ptCount val="3"/>
                <c:pt idx="0">
                  <c:v>Cincinnati</c:v>
                </c:pt>
                <c:pt idx="1">
                  <c:v>Cleveland</c:v>
                </c:pt>
                <c:pt idx="2">
                  <c:v>Columbus</c:v>
                </c:pt>
              </c:strCache>
            </c:strRef>
          </c:cat>
          <c:val>
            <c:numRef>
              <c:f>Sheet3!$D$96:$D$99</c:f>
              <c:numCache>
                <c:formatCode>General</c:formatCode>
                <c:ptCount val="3"/>
                <c:pt idx="0">
                  <c:v>144</c:v>
                </c:pt>
                <c:pt idx="1">
                  <c:v>326</c:v>
                </c:pt>
                <c:pt idx="2">
                  <c:v>129</c:v>
                </c:pt>
              </c:numCache>
            </c:numRef>
          </c:val>
        </c:ser>
        <c:ser>
          <c:idx val="1"/>
          <c:order val="1"/>
          <c:tx>
            <c:strRef>
              <c:f>Sheet3!$E$94:$E$95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Sheet3!$C$96:$C$99</c:f>
              <c:strCache>
                <c:ptCount val="3"/>
                <c:pt idx="0">
                  <c:v>Cincinnati</c:v>
                </c:pt>
                <c:pt idx="1">
                  <c:v>Cleveland</c:v>
                </c:pt>
                <c:pt idx="2">
                  <c:v>Columbus</c:v>
                </c:pt>
              </c:strCache>
            </c:strRef>
          </c:cat>
          <c:val>
            <c:numRef>
              <c:f>Sheet3!$E$96:$E$99</c:f>
              <c:numCache>
                <c:formatCode>General</c:formatCode>
                <c:ptCount val="3"/>
                <c:pt idx="0">
                  <c:v>132</c:v>
                </c:pt>
                <c:pt idx="1">
                  <c:v>63</c:v>
                </c:pt>
                <c:pt idx="2">
                  <c:v>206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662053656"/>
        <c:axId val="749661530"/>
      </c:barChart>
      <c:catAx>
        <c:axId val="6620536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661530"/>
        <c:crosses val="autoZero"/>
        <c:auto val="1"/>
        <c:lblAlgn val="ctr"/>
        <c:lblOffset val="100"/>
        <c:noMultiLvlLbl val="0"/>
      </c:catAx>
      <c:valAx>
        <c:axId val="749661530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053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4bffa55-9484-42ee-87f5-d2d6353b47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[07.sample-data-excel-portfolio-project main.xlsx]Sheet3!rating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Sheet3!$B$117:$B$121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Sheet3!$C$117:$C$121</c:f>
              <c:numCache>
                <c:formatCode>General</c:formatCode>
                <c:ptCount val="4"/>
                <c:pt idx="0">
                  <c:v>10</c:v>
                </c:pt>
                <c:pt idx="1">
                  <c:v>44</c:v>
                </c:pt>
                <c:pt idx="2">
                  <c:v>95</c:v>
                </c:pt>
                <c:pt idx="3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8"/>
        <c:axId val="252561355"/>
        <c:axId val="989586861"/>
      </c:barChart>
      <c:catAx>
        <c:axId val="2525613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9586861"/>
        <c:crosses val="autoZero"/>
        <c:auto val="1"/>
        <c:lblAlgn val="ctr"/>
        <c:lblOffset val="100"/>
        <c:noMultiLvlLbl val="0"/>
      </c:catAx>
      <c:valAx>
        <c:axId val="98958686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5613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af8201-af1a-4021-b96b-2152268064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[07.sample-data-excel-portfolio-project main.xlsx]Sheet3!weekday trend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Sheet3!$A$56:$A$63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Sheet3!$B$56:$B$63</c:f>
              <c:numCache>
                <c:formatCode>General</c:formatCode>
                <c:ptCount val="7"/>
                <c:pt idx="0">
                  <c:v>27</c:v>
                </c:pt>
                <c:pt idx="1">
                  <c:v>22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32</c:v>
                </c:pt>
                <c:pt idx="6">
                  <c:v>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40"/>
        <c:axId val="786608971"/>
        <c:axId val="364075279"/>
      </c:barChart>
      <c:catAx>
        <c:axId val="786608971"/>
        <c:scaling>
          <c:orientation val="maxMin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4075279"/>
        <c:crosses val="autoZero"/>
        <c:auto val="1"/>
        <c:lblAlgn val="ctr"/>
        <c:lblOffset val="100"/>
        <c:noMultiLvlLbl val="0"/>
      </c:catAx>
      <c:valAx>
        <c:axId val="36407527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6089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d9e8ac6-b02d-4789-99e2-742f93e512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41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[07.sample-data-excel-portfolio-project main.xlsx]Sheet3!Monthly trend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accent1"/>
                </a:solidFill>
              </a:rPr>
              <a:t>C</a:t>
            </a:r>
            <a:r>
              <a:rPr lang="en-IN" altLang="en-US" sz="1800">
                <a:solidFill>
                  <a:schemeClr val="accent1"/>
                </a:solidFill>
              </a:rPr>
              <a:t>all Trend</a:t>
            </a:r>
            <a:endParaRPr lang="en-IN" altLang="en-US" sz="1800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Sheet3!$C$29</c:f>
              <c:strCache>
                <c:ptCount val="1"/>
                <c:pt idx="0">
                  <c:v>Count of Call number2</c:v>
                </c:pt>
              </c:strCache>
            </c:strRef>
          </c:tx>
          <c:spPr>
            <a:gradFill>
              <a:gsLst>
                <a:gs pos="42000">
                  <a:schemeClr val="accent1"/>
                </a:gs>
                <a:gs pos="100000">
                  <a:schemeClr val="accent6">
                    <a:lumMod val="20000"/>
                    <a:lumOff val="80000"/>
                  </a:schemeClr>
                </a:gs>
                <a:gs pos="86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dLbls>
            <c:delete val="1"/>
          </c:dLbls>
          <c:cat>
            <c:strRef>
              <c:f>Sheet3!$A$30:$A$42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Sheet3!$C$30:$C$42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24</c:v>
                </c:pt>
                <c:pt idx="3">
                  <c:v>12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8</c:v>
                </c:pt>
                <c:pt idx="9">
                  <c:v>14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050068"/>
        <c:axId val="335600397"/>
      </c:areaChart>
      <c:lineChart>
        <c:grouping val="stacked"/>
        <c:varyColors val="0"/>
        <c:ser>
          <c:idx val="0"/>
          <c:order val="0"/>
          <c:tx>
            <c:strRef>
              <c:f>Sheet3!$B$29</c:f>
              <c:strCache>
                <c:ptCount val="1"/>
                <c:pt idx="0">
                  <c:v>Count of Call number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cat>
            <c:strRef>
              <c:f>Sheet3!$A$30:$A$42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Sheet3!$B$30:$B$42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24</c:v>
                </c:pt>
                <c:pt idx="3">
                  <c:v>12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8</c:v>
                </c:pt>
                <c:pt idx="9">
                  <c:v>14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58728"/>
        <c:axId val="446608829"/>
      </c:lineChart>
      <c:catAx>
        <c:axId val="129558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608829"/>
        <c:crosses val="autoZero"/>
        <c:auto val="1"/>
        <c:lblAlgn val="ctr"/>
        <c:lblOffset val="100"/>
        <c:noMultiLvlLbl val="0"/>
      </c:catAx>
      <c:valAx>
        <c:axId val="4466088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558728"/>
        <c:crosses val="autoZero"/>
        <c:crossBetween val="between"/>
      </c:valAx>
      <c:catAx>
        <c:axId val="72605006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600397"/>
        <c:crosses val="autoZero"/>
        <c:auto val="1"/>
        <c:lblAlgn val="ctr"/>
        <c:lblOffset val="100"/>
        <c:noMultiLvlLbl val="0"/>
      </c:catAx>
      <c:valAx>
        <c:axId val="33560039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605006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a30dec79-2b5a-4fae-917e-d449a4c4c5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1"/>
                </a:solidFill>
              </a:rPr>
              <a:t>C</a:t>
            </a:r>
            <a:r>
              <a:rPr lang="en-IN" altLang="en-US">
                <a:solidFill>
                  <a:schemeClr val="accent1"/>
                </a:solidFill>
              </a:rPr>
              <a:t>alls</a:t>
            </a:r>
            <a:endParaRPr lang="en-IN" altLang="en-US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0963352196173538"/>
          <c:y val="0.03443396226415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Sheet3!$E$77:$E$81</c:f>
              <c:strCache>
                <c:ptCount val="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</c:strCache>
            </c:strRef>
          </c:cat>
          <c:val>
            <c:numRef>
              <c:f>Sheet3!$F$77:$F$81</c:f>
              <c:numCache>
                <c:formatCode>General</c:formatCode>
                <c:ptCount val="5"/>
                <c:pt idx="0">
                  <c:v>189</c:v>
                </c:pt>
                <c:pt idx="1">
                  <c:v>218</c:v>
                </c:pt>
                <c:pt idx="2">
                  <c:v>207</c:v>
                </c:pt>
                <c:pt idx="3">
                  <c:v>186</c:v>
                </c:pt>
                <c:pt idx="4">
                  <c:v>200</c:v>
                </c:pt>
              </c:numCache>
            </c:numRef>
          </c:val>
        </c:ser>
        <c:ser>
          <c:idx val="1"/>
          <c:order val="1"/>
          <c:tx>
            <c:strRef>
              <c:f>Sheet3!$H$76</c:f>
              <c:strCache>
                <c:ptCount val="1"/>
                <c:pt idx="0">
                  <c:v>Sel.calls</c:v>
                </c:pt>
              </c:strCache>
            </c:strRef>
          </c:tx>
          <c:spPr>
            <a:gradFill>
              <a:gsLst>
                <a:gs pos="52000">
                  <a:schemeClr val="accent1"/>
                </a:gs>
                <a:gs pos="100000">
                  <a:schemeClr val="accent2"/>
                </a:gs>
              </a:gsLst>
              <a:lin ang="108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Sheet3!$E$77:$E$81</c:f>
              <c:strCache>
                <c:ptCount val="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</c:strCache>
            </c:strRef>
          </c:cat>
          <c:val>
            <c:numRef>
              <c:f>Sheet3!$H$77:$H$81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648396345"/>
        <c:axId val="126727359"/>
      </c:barChart>
      <c:catAx>
        <c:axId val="648396345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126727359"/>
        <c:crosses val="autoZero"/>
        <c:auto val="1"/>
        <c:lblAlgn val="ctr"/>
        <c:lblOffset val="100"/>
        <c:noMultiLvlLbl val="0"/>
      </c:catAx>
      <c:valAx>
        <c:axId val="126727359"/>
        <c:scaling>
          <c:orientation val="minMax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</a:p>
        </c:txPr>
        <c:crossAx val="64839634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6a7b88-e789-4515-a19f-265db03fbfe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accent1"/>
          </a:solidFill>
        </a:defRPr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1"/>
                </a:solidFill>
              </a:rPr>
              <a:t>Amount</a:t>
            </a:r>
            <a:endParaRPr lang="en-IN" altLang="en-US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0792999726551818"/>
          <c:y val="0.0343853038153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Sheet3!$E$77:$E$81</c:f>
              <c:strCache>
                <c:ptCount val="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</c:strCache>
            </c:strRef>
          </c:cat>
          <c:val>
            <c:numRef>
              <c:f>Sheet3!$G$77:$G$81</c:f>
              <c:numCache>
                <c:formatCode>"$"#,###"k"</c:formatCode>
                <c:ptCount val="5"/>
                <c:pt idx="0">
                  <c:v>18415</c:v>
                </c:pt>
                <c:pt idx="1">
                  <c:v>20581</c:v>
                </c:pt>
                <c:pt idx="2">
                  <c:v>20872</c:v>
                </c:pt>
                <c:pt idx="3">
                  <c:v>16651</c:v>
                </c:pt>
                <c:pt idx="4">
                  <c:v>20104</c:v>
                </c:pt>
              </c:numCache>
            </c:numRef>
          </c:val>
        </c:ser>
        <c:ser>
          <c:idx val="1"/>
          <c:order val="1"/>
          <c:tx>
            <c:strRef>
              <c:f>Sheet3!$I$76</c:f>
              <c:strCache>
                <c:ptCount val="1"/>
                <c:pt idx="0">
                  <c:v>Sel.amount</c:v>
                </c:pt>
              </c:strCache>
            </c:strRef>
          </c:tx>
          <c:spPr>
            <a:gradFill>
              <a:gsLst>
                <a:gs pos="52000">
                  <a:schemeClr val="accent1"/>
                </a:gs>
                <a:gs pos="100000">
                  <a:schemeClr val="accent2"/>
                </a:gs>
              </a:gsLst>
              <a:lin ang="108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Sheet3!$E$77:$E$81</c:f>
              <c:strCache>
                <c:ptCount val="5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</c:strCache>
            </c:strRef>
          </c:cat>
          <c:val>
            <c:numRef>
              <c:f>Sheet3!$I$77:$I$81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20104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793333793"/>
        <c:axId val="609348295"/>
      </c:barChart>
      <c:catAx>
        <c:axId val="793333793"/>
        <c:scaling>
          <c:orientation val="maxMin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348295"/>
        <c:crosses val="autoZero"/>
        <c:auto val="1"/>
        <c:lblAlgn val="ctr"/>
        <c:lblOffset val="100"/>
        <c:noMultiLvlLbl val="0"/>
      </c:catAx>
      <c:valAx>
        <c:axId val="609348295"/>
        <c:scaling>
          <c:orientation val="minMax"/>
        </c:scaling>
        <c:delete val="1"/>
        <c:axPos val="t"/>
        <c:numFmt formatCode="&quot;$&quot;#,###&quot;k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3337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a453877-4751-49ef-8622-0b4a20cb05f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[07.sample-data-excel-portfolio-project main.xlsx]Sheet3!caller count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1"/>
                </a:solidFill>
              </a:rPr>
              <a:t>Female</a:t>
            </a:r>
            <a:r>
              <a:rPr lang="en-IN" altLang="en-US"/>
              <a:t> Vs. </a:t>
            </a:r>
            <a:r>
              <a:rPr lang="en-IN" altLang="en-US">
                <a:solidFill>
                  <a:schemeClr val="accent4"/>
                </a:solidFill>
              </a:rPr>
              <a:t>Male</a:t>
            </a:r>
            <a:r>
              <a:rPr lang="en-IN" altLang="en-US"/>
              <a:t> Callers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Sheet3!$D$94:$D$95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Sheet3!$C$96:$C$99</c:f>
              <c:strCache>
                <c:ptCount val="3"/>
                <c:pt idx="0">
                  <c:v>Cincinnati</c:v>
                </c:pt>
                <c:pt idx="1">
                  <c:v>Cleveland</c:v>
                </c:pt>
                <c:pt idx="2">
                  <c:v>Columbus</c:v>
                </c:pt>
              </c:strCache>
            </c:strRef>
          </c:cat>
          <c:val>
            <c:numRef>
              <c:f>Sheet3!$D$96:$D$99</c:f>
              <c:numCache>
                <c:formatCode>General</c:formatCode>
                <c:ptCount val="3"/>
                <c:pt idx="0">
                  <c:v>144</c:v>
                </c:pt>
                <c:pt idx="1">
                  <c:v>326</c:v>
                </c:pt>
                <c:pt idx="2">
                  <c:v>129</c:v>
                </c:pt>
              </c:numCache>
            </c:numRef>
          </c:val>
        </c:ser>
        <c:ser>
          <c:idx val="1"/>
          <c:order val="1"/>
          <c:tx>
            <c:strRef>
              <c:f>Sheet3!$E$94:$E$95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Sheet3!$C$96:$C$99</c:f>
              <c:strCache>
                <c:ptCount val="3"/>
                <c:pt idx="0">
                  <c:v>Cincinnati</c:v>
                </c:pt>
                <c:pt idx="1">
                  <c:v>Cleveland</c:v>
                </c:pt>
                <c:pt idx="2">
                  <c:v>Columbus</c:v>
                </c:pt>
              </c:strCache>
            </c:strRef>
          </c:cat>
          <c:val>
            <c:numRef>
              <c:f>Sheet3!$E$96:$E$99</c:f>
              <c:numCache>
                <c:formatCode>General</c:formatCode>
                <c:ptCount val="3"/>
                <c:pt idx="0">
                  <c:v>132</c:v>
                </c:pt>
                <c:pt idx="1">
                  <c:v>63</c:v>
                </c:pt>
                <c:pt idx="2">
                  <c:v>206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662053656"/>
        <c:axId val="749661530"/>
      </c:barChart>
      <c:catAx>
        <c:axId val="6620536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661530"/>
        <c:crosses val="autoZero"/>
        <c:auto val="1"/>
        <c:lblAlgn val="ctr"/>
        <c:lblOffset val="100"/>
        <c:noMultiLvlLbl val="0"/>
      </c:catAx>
      <c:valAx>
        <c:axId val="749661530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053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700e1a3-abfa-44d1-841f-1ff1a00e82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[07.sample-data-excel-portfolio-project main.xlsx]Sheet3!rating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accent1"/>
                </a:solidFill>
              </a:rPr>
              <a:t>Rating</a:t>
            </a:r>
            <a:endParaRPr lang="en-IN" altLang="en-US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Sheet3!$B$117:$B$121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Sheet3!$C$117:$C$121</c:f>
              <c:numCache>
                <c:formatCode>General</c:formatCode>
                <c:ptCount val="4"/>
                <c:pt idx="0">
                  <c:v>10</c:v>
                </c:pt>
                <c:pt idx="1">
                  <c:v>44</c:v>
                </c:pt>
                <c:pt idx="2">
                  <c:v>95</c:v>
                </c:pt>
                <c:pt idx="3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8"/>
        <c:axId val="252561355"/>
        <c:axId val="989586861"/>
      </c:barChart>
      <c:catAx>
        <c:axId val="2525613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9586861"/>
        <c:crosses val="autoZero"/>
        <c:auto val="1"/>
        <c:lblAlgn val="ctr"/>
        <c:lblOffset val="100"/>
        <c:noMultiLvlLbl val="0"/>
      </c:catAx>
      <c:valAx>
        <c:axId val="9895868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5613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1d6156-e450-454a-aec2-bec0f69604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svg"/><Relationship Id="rId7" Type="http://schemas.openxmlformats.org/officeDocument/2006/relationships/image" Target="../media/image7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2" Type="http://schemas.openxmlformats.org/officeDocument/2006/relationships/image" Target="../media/image12.svg"/><Relationship Id="rId11" Type="http://schemas.openxmlformats.org/officeDocument/2006/relationships/image" Target="../media/image11.pn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5.png"/><Relationship Id="rId8" Type="http://schemas.openxmlformats.org/officeDocument/2006/relationships/image" Target="../media/image14.svg"/><Relationship Id="rId7" Type="http://schemas.openxmlformats.org/officeDocument/2006/relationships/image" Target="../media/image13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6" Type="http://schemas.openxmlformats.org/officeDocument/2006/relationships/image" Target="../media/image22.svg"/><Relationship Id="rId15" Type="http://schemas.openxmlformats.org/officeDocument/2006/relationships/image" Target="../media/image21.png"/><Relationship Id="rId14" Type="http://schemas.openxmlformats.org/officeDocument/2006/relationships/image" Target="../media/image20.svg"/><Relationship Id="rId13" Type="http://schemas.openxmlformats.org/officeDocument/2006/relationships/image" Target="../media/image19.png"/><Relationship Id="rId12" Type="http://schemas.openxmlformats.org/officeDocument/2006/relationships/image" Target="../media/image18.svg"/><Relationship Id="rId11" Type="http://schemas.openxmlformats.org/officeDocument/2006/relationships/image" Target="../media/image17.png"/><Relationship Id="rId10" Type="http://schemas.openxmlformats.org/officeDocument/2006/relationships/image" Target="../media/image16.sv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1415415</xdr:colOff>
      <xdr:row>32</xdr:row>
      <xdr:rowOff>71120</xdr:rowOff>
    </xdr:from>
    <xdr:to>
      <xdr:col>6</xdr:col>
      <xdr:colOff>944880</xdr:colOff>
      <xdr:row>48</xdr:row>
      <xdr:rowOff>10160</xdr:rowOff>
    </xdr:to>
    <xdr:graphicFrame>
      <xdr:nvGraphicFramePr>
        <xdr:cNvPr id="7" name="Chart 6"/>
        <xdr:cNvGraphicFramePr/>
      </xdr:nvGraphicFramePr>
      <xdr:xfrm>
        <a:off x="7404735" y="5679440"/>
        <a:ext cx="47110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1084580</xdr:colOff>
      <xdr:row>53</xdr:row>
      <xdr:rowOff>151765</xdr:rowOff>
    </xdr:from>
    <xdr:to>
      <xdr:col>5</xdr:col>
      <xdr:colOff>408940</xdr:colOff>
      <xdr:row>69</xdr:row>
      <xdr:rowOff>90805</xdr:rowOff>
    </xdr:to>
    <xdr:graphicFrame>
      <xdr:nvGraphicFramePr>
        <xdr:cNvPr id="8" name="Chart 7"/>
        <xdr:cNvGraphicFramePr/>
      </xdr:nvGraphicFramePr>
      <xdr:xfrm>
        <a:off x="5077460" y="9440545"/>
        <a:ext cx="53136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675640</xdr:colOff>
      <xdr:row>72</xdr:row>
      <xdr:rowOff>17780</xdr:rowOff>
    </xdr:from>
    <xdr:to>
      <xdr:col>12</xdr:col>
      <xdr:colOff>191770</xdr:colOff>
      <xdr:row>87</xdr:row>
      <xdr:rowOff>132080</xdr:rowOff>
    </xdr:to>
    <xdr:graphicFrame>
      <xdr:nvGraphicFramePr>
        <xdr:cNvPr id="9" name="Chart 8"/>
        <xdr:cNvGraphicFramePr/>
      </xdr:nvGraphicFramePr>
      <xdr:xfrm>
        <a:off x="15046960" y="12636500"/>
        <a:ext cx="23507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631190</xdr:colOff>
      <xdr:row>71</xdr:row>
      <xdr:rowOff>101600</xdr:rowOff>
    </xdr:from>
    <xdr:to>
      <xdr:col>15</xdr:col>
      <xdr:colOff>196215</xdr:colOff>
      <xdr:row>87</xdr:row>
      <xdr:rowOff>40640</xdr:rowOff>
    </xdr:to>
    <xdr:graphicFrame>
      <xdr:nvGraphicFramePr>
        <xdr:cNvPr id="10" name="Chart 9"/>
        <xdr:cNvGraphicFramePr/>
      </xdr:nvGraphicFramePr>
      <xdr:xfrm>
        <a:off x="17837150" y="12545060"/>
        <a:ext cx="240728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307975</xdr:colOff>
      <xdr:row>92</xdr:row>
      <xdr:rowOff>64770</xdr:rowOff>
    </xdr:from>
    <xdr:to>
      <xdr:col>9</xdr:col>
      <xdr:colOff>226695</xdr:colOff>
      <xdr:row>108</xdr:row>
      <xdr:rowOff>3810</xdr:rowOff>
    </xdr:to>
    <xdr:graphicFrame>
      <xdr:nvGraphicFramePr>
        <xdr:cNvPr id="14" name="Chart 13"/>
        <xdr:cNvGraphicFramePr/>
      </xdr:nvGraphicFramePr>
      <xdr:xfrm>
        <a:off x="11478895" y="16188690"/>
        <a:ext cx="31191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387350</xdr:colOff>
      <xdr:row>113</xdr:row>
      <xdr:rowOff>19050</xdr:rowOff>
    </xdr:from>
    <xdr:to>
      <xdr:col>8</xdr:col>
      <xdr:colOff>46990</xdr:colOff>
      <xdr:row>128</xdr:row>
      <xdr:rowOff>133350</xdr:rowOff>
    </xdr:to>
    <xdr:graphicFrame>
      <xdr:nvGraphicFramePr>
        <xdr:cNvPr id="15" name="Chart 14"/>
        <xdr:cNvGraphicFramePr/>
      </xdr:nvGraphicFramePr>
      <xdr:xfrm>
        <a:off x="8373110" y="19823430"/>
        <a:ext cx="5222240" cy="3496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120187</xdr:rowOff>
    </xdr:from>
    <xdr:to>
      <xdr:col>1</xdr:col>
      <xdr:colOff>409650</xdr:colOff>
      <xdr:row>7</xdr:row>
      <xdr:rowOff>514597</xdr:rowOff>
    </xdr:to>
    <xdr:pic>
      <xdr:nvPicPr>
        <xdr:cNvPr id="2" name="Graphic 1" descr="Star-struck face outline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7220" y="2089785"/>
          <a:ext cx="409575" cy="3943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78525</xdr:rowOff>
    </xdr:from>
    <xdr:to>
      <xdr:col>1</xdr:col>
      <xdr:colOff>409650</xdr:colOff>
      <xdr:row>2</xdr:row>
      <xdr:rowOff>305295</xdr:rowOff>
    </xdr:to>
    <xdr:pic>
      <xdr:nvPicPr>
        <xdr:cNvPr id="3" name="Graphic 2" descr="Hourglass Finished with solid fill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17220" y="253365"/>
          <a:ext cx="409575" cy="4019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161850</xdr:rowOff>
    </xdr:from>
    <xdr:to>
      <xdr:col>1</xdr:col>
      <xdr:colOff>409650</xdr:colOff>
      <xdr:row>16</xdr:row>
      <xdr:rowOff>22860</xdr:rowOff>
    </xdr:to>
    <xdr:pic>
      <xdr:nvPicPr>
        <xdr:cNvPr id="4" name="Graphic 3" descr="Shopping cart with solid fill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17220" y="5441950"/>
          <a:ext cx="409575" cy="387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99356</xdr:rowOff>
    </xdr:from>
    <xdr:to>
      <xdr:col>1</xdr:col>
      <xdr:colOff>409650</xdr:colOff>
      <xdr:row>5</xdr:row>
      <xdr:rowOff>184035</xdr:rowOff>
    </xdr:to>
    <xdr:pic>
      <xdr:nvPicPr>
        <xdr:cNvPr id="5" name="Graphic 4" descr="Call center with solid fill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17220" y="1097280"/>
          <a:ext cx="409575" cy="4083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141018</xdr:rowOff>
    </xdr:from>
    <xdr:to>
      <xdr:col>1</xdr:col>
      <xdr:colOff>409650</xdr:colOff>
      <xdr:row>13</xdr:row>
      <xdr:rowOff>9648</xdr:rowOff>
    </xdr:to>
    <xdr:pic>
      <xdr:nvPicPr>
        <xdr:cNvPr id="6" name="Graphic 5" descr="Receiver with solid fill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17220" y="4895850"/>
          <a:ext cx="409575" cy="394335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16</xdr:row>
      <xdr:rowOff>126149</xdr:rowOff>
    </xdr:from>
    <xdr:to>
      <xdr:col>1</xdr:col>
      <xdr:colOff>430529</xdr:colOff>
      <xdr:row>18</xdr:row>
      <xdr:rowOff>171869</xdr:rowOff>
    </xdr:to>
    <xdr:pic>
      <xdr:nvPicPr>
        <xdr:cNvPr id="7" name="Graphic 6" descr="Rating Star with solid fill"/>
        <xdr:cNvPicPr>
          <a:picLocks noChangeAspect="1"/>
        </xdr:cNvPicPr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>
          <a:fillRect/>
        </a:stretch>
      </xdr:blipFill>
      <xdr:spPr>
        <a:xfrm>
          <a:off x="635635" y="5932170"/>
          <a:ext cx="411480" cy="396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532130</xdr:colOff>
      <xdr:row>43</xdr:row>
      <xdr:rowOff>21590</xdr:rowOff>
    </xdr:from>
    <xdr:to>
      <xdr:col>16</xdr:col>
      <xdr:colOff>661035</xdr:colOff>
      <xdr:row>55</xdr:row>
      <xdr:rowOff>147955</xdr:rowOff>
    </xdr:to>
    <xdr:graphicFrame>
      <xdr:nvGraphicFramePr>
        <xdr:cNvPr id="3" name="Chart 2"/>
        <xdr:cNvGraphicFramePr/>
      </xdr:nvGraphicFramePr>
      <xdr:xfrm>
        <a:off x="9003030" y="10758170"/>
        <a:ext cx="2140585" cy="2229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669925</xdr:colOff>
      <xdr:row>42</xdr:row>
      <xdr:rowOff>48260</xdr:rowOff>
    </xdr:from>
    <xdr:to>
      <xdr:col>13</xdr:col>
      <xdr:colOff>551815</xdr:colOff>
      <xdr:row>57</xdr:row>
      <xdr:rowOff>156210</xdr:rowOff>
    </xdr:to>
    <xdr:graphicFrame>
      <xdr:nvGraphicFramePr>
        <xdr:cNvPr id="2" name="Chart 1"/>
        <xdr:cNvGraphicFramePr/>
      </xdr:nvGraphicFramePr>
      <xdr:xfrm>
        <a:off x="3776345" y="10609580"/>
        <a:ext cx="5246370" cy="2736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662305</xdr:colOff>
      <xdr:row>60</xdr:row>
      <xdr:rowOff>1270</xdr:rowOff>
    </xdr:from>
    <xdr:to>
      <xdr:col>17</xdr:col>
      <xdr:colOff>384175</xdr:colOff>
      <xdr:row>73</xdr:row>
      <xdr:rowOff>121285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Representativ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resentativ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3765" y="13717270"/>
              <a:ext cx="1848485" cy="2398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</xdr:col>
      <xdr:colOff>567055</xdr:colOff>
      <xdr:row>58</xdr:row>
      <xdr:rowOff>159385</xdr:rowOff>
    </xdr:from>
    <xdr:to>
      <xdr:col>15</xdr:col>
      <xdr:colOff>42545</xdr:colOff>
      <xdr:row>75</xdr:row>
      <xdr:rowOff>171450</xdr:rowOff>
    </xdr:to>
    <xdr:sp>
      <xdr:nvSpPr>
        <xdr:cNvPr id="13" name="Rectangles 12"/>
        <xdr:cNvSpPr/>
      </xdr:nvSpPr>
      <xdr:spPr>
        <a:xfrm>
          <a:off x="5014595" y="13524865"/>
          <a:ext cx="4839970" cy="299148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8</xdr:col>
      <xdr:colOff>3175</xdr:colOff>
      <xdr:row>59</xdr:row>
      <xdr:rowOff>110490</xdr:rowOff>
    </xdr:from>
    <xdr:to>
      <xdr:col>11</xdr:col>
      <xdr:colOff>342265</xdr:colOff>
      <xdr:row>75</xdr:row>
      <xdr:rowOff>49530</xdr:rowOff>
    </xdr:to>
    <xdr:graphicFrame>
      <xdr:nvGraphicFramePr>
        <xdr:cNvPr id="11" name="Chart 10"/>
        <xdr:cNvGraphicFramePr/>
      </xdr:nvGraphicFramePr>
      <xdr:xfrm>
        <a:off x="5121275" y="13651230"/>
        <a:ext cx="23507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299720</xdr:colOff>
      <xdr:row>59</xdr:row>
      <xdr:rowOff>124460</xdr:rowOff>
    </xdr:from>
    <xdr:to>
      <xdr:col>14</xdr:col>
      <xdr:colOff>606425</xdr:colOff>
      <xdr:row>75</xdr:row>
      <xdr:rowOff>64135</xdr:rowOff>
    </xdr:to>
    <xdr:graphicFrame>
      <xdr:nvGraphicFramePr>
        <xdr:cNvPr id="12" name="Chart 11"/>
        <xdr:cNvGraphicFramePr/>
      </xdr:nvGraphicFramePr>
      <xdr:xfrm>
        <a:off x="7429500" y="13665200"/>
        <a:ext cx="2318385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26035</xdr:colOff>
      <xdr:row>41</xdr:row>
      <xdr:rowOff>133350</xdr:rowOff>
    </xdr:from>
    <xdr:to>
      <xdr:col>21</xdr:col>
      <xdr:colOff>97155</xdr:colOff>
      <xdr:row>57</xdr:row>
      <xdr:rowOff>72390</xdr:rowOff>
    </xdr:to>
    <xdr:graphicFrame>
      <xdr:nvGraphicFramePr>
        <xdr:cNvPr id="16" name="Chart 15"/>
        <xdr:cNvGraphicFramePr/>
      </xdr:nvGraphicFramePr>
      <xdr:xfrm>
        <a:off x="11294110" y="10519410"/>
        <a:ext cx="2753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293370</xdr:colOff>
      <xdr:row>41</xdr:row>
      <xdr:rowOff>110490</xdr:rowOff>
    </xdr:from>
    <xdr:to>
      <xdr:col>26</xdr:col>
      <xdr:colOff>6350</xdr:colOff>
      <xdr:row>57</xdr:row>
      <xdr:rowOff>49530</xdr:rowOff>
    </xdr:to>
    <xdr:graphicFrame>
      <xdr:nvGraphicFramePr>
        <xdr:cNvPr id="17" name="Chart 16"/>
        <xdr:cNvGraphicFramePr/>
      </xdr:nvGraphicFramePr>
      <xdr:xfrm>
        <a:off x="14243685" y="10496550"/>
        <a:ext cx="30657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6</xdr:col>
      <xdr:colOff>590550</xdr:colOff>
      <xdr:row>36</xdr:row>
      <xdr:rowOff>47625</xdr:rowOff>
    </xdr:from>
    <xdr:ext cx="838200" cy="447040"/>
    <xdr:sp>
      <xdr:nvSpPr>
        <xdr:cNvPr id="18" name="Text Box 17"/>
        <xdr:cNvSpPr txBox="1"/>
      </xdr:nvSpPr>
      <xdr:spPr>
        <a:xfrm>
          <a:off x="4367530" y="8406765"/>
          <a:ext cx="838200" cy="4470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ctr"/>
          <a:r>
            <a:rPr lang="en-IN" altLang="en-US" sz="2000" b="1">
              <a:solidFill>
                <a:schemeClr val="bg1"/>
              </a:solidFill>
            </a:rPr>
            <a:t>Calls</a:t>
          </a:r>
          <a:endParaRPr lang="en-IN" altLang="en-US" sz="28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6</xdr:col>
      <xdr:colOff>121920</xdr:colOff>
      <xdr:row>36</xdr:row>
      <xdr:rowOff>128905</xdr:rowOff>
    </xdr:from>
    <xdr:to>
      <xdr:col>6</xdr:col>
      <xdr:colOff>445135</xdr:colOff>
      <xdr:row>36</xdr:row>
      <xdr:rowOff>438150</xdr:rowOff>
    </xdr:to>
    <xdr:pic>
      <xdr:nvPicPr>
        <xdr:cNvPr id="19" name="Graphic 5" descr="Receiver with solid fill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rot="840000">
          <a:off x="3898900" y="8488045"/>
          <a:ext cx="323215" cy="309245"/>
        </a:xfrm>
        <a:prstGeom prst="rect">
          <a:avLst/>
        </a:prstGeom>
      </xdr:spPr>
    </xdr:pic>
    <xdr:clientData/>
  </xdr:twoCellAnchor>
  <xdr:oneCellAnchor>
    <xdr:from>
      <xdr:col>10</xdr:col>
      <xdr:colOff>184150</xdr:colOff>
      <xdr:row>36</xdr:row>
      <xdr:rowOff>70485</xdr:rowOff>
    </xdr:from>
    <xdr:ext cx="1991995" cy="447040"/>
    <xdr:sp>
      <xdr:nvSpPr>
        <xdr:cNvPr id="4" name="Text Box 3"/>
        <xdr:cNvSpPr txBox="1"/>
      </xdr:nvSpPr>
      <xdr:spPr>
        <a:xfrm>
          <a:off x="6643370" y="8429625"/>
          <a:ext cx="1991995" cy="4470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800" b="1">
              <a:solidFill>
                <a:schemeClr val="bg1"/>
              </a:solidFill>
            </a:rPr>
            <a:t>Total Amount</a:t>
          </a:r>
          <a:endParaRPr lang="en-IN" altLang="en-US" sz="18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10</xdr:col>
      <xdr:colOff>46990</xdr:colOff>
      <xdr:row>36</xdr:row>
      <xdr:rowOff>106045</xdr:rowOff>
    </xdr:from>
    <xdr:to>
      <xdr:col>10</xdr:col>
      <xdr:colOff>376555</xdr:colOff>
      <xdr:row>36</xdr:row>
      <xdr:rowOff>417830</xdr:rowOff>
    </xdr:to>
    <xdr:pic>
      <xdr:nvPicPr>
        <xdr:cNvPr id="6" name="Graphic 3" descr="Shopping cart with solid fill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506210" y="8465185"/>
          <a:ext cx="329565" cy="311785"/>
        </a:xfrm>
        <a:prstGeom prst="rect">
          <a:avLst/>
        </a:prstGeom>
      </xdr:spPr>
    </xdr:pic>
    <xdr:clientData/>
  </xdr:twoCellAnchor>
  <xdr:oneCellAnchor>
    <xdr:from>
      <xdr:col>14</xdr:col>
      <xdr:colOff>476250</xdr:colOff>
      <xdr:row>36</xdr:row>
      <xdr:rowOff>59055</xdr:rowOff>
    </xdr:from>
    <xdr:ext cx="1322070" cy="447040"/>
    <xdr:sp>
      <xdr:nvSpPr>
        <xdr:cNvPr id="7" name="Text Box 6"/>
        <xdr:cNvSpPr txBox="1"/>
      </xdr:nvSpPr>
      <xdr:spPr>
        <a:xfrm>
          <a:off x="9617710" y="8418195"/>
          <a:ext cx="1322070" cy="4470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2000" b="1">
              <a:solidFill>
                <a:schemeClr val="bg1"/>
              </a:solidFill>
            </a:rPr>
            <a:t>Duration</a:t>
          </a:r>
          <a:endParaRPr lang="en-IN" altLang="en-US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498475</xdr:colOff>
      <xdr:row>36</xdr:row>
      <xdr:rowOff>82550</xdr:rowOff>
    </xdr:from>
    <xdr:ext cx="1403985" cy="447040"/>
    <xdr:sp>
      <xdr:nvSpPr>
        <xdr:cNvPr id="9" name="Text Box 8"/>
        <xdr:cNvSpPr txBox="1"/>
      </xdr:nvSpPr>
      <xdr:spPr>
        <a:xfrm>
          <a:off x="12437110" y="8441690"/>
          <a:ext cx="1403985" cy="4470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800" b="1">
              <a:solidFill>
                <a:schemeClr val="bg1"/>
              </a:solidFill>
            </a:rPr>
            <a:t>Avg.Rating</a:t>
          </a:r>
          <a:endParaRPr lang="en-IN" altLang="en-US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500380</xdr:colOff>
      <xdr:row>36</xdr:row>
      <xdr:rowOff>70485</xdr:rowOff>
    </xdr:from>
    <xdr:ext cx="1262380" cy="447040"/>
    <xdr:sp>
      <xdr:nvSpPr>
        <xdr:cNvPr id="14" name="Text Box 13"/>
        <xdr:cNvSpPr txBox="1"/>
      </xdr:nvSpPr>
      <xdr:spPr>
        <a:xfrm>
          <a:off x="15121255" y="8429625"/>
          <a:ext cx="1262380" cy="4470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800" b="1">
              <a:solidFill>
                <a:schemeClr val="bg1"/>
              </a:solidFill>
            </a:rPr>
            <a:t>Happy Calls</a:t>
          </a:r>
          <a:endParaRPr lang="en-IN" altLang="en-US" sz="18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14</xdr:col>
      <xdr:colOff>150495</xdr:colOff>
      <xdr:row>36</xdr:row>
      <xdr:rowOff>112395</xdr:rowOff>
    </xdr:from>
    <xdr:to>
      <xdr:col>14</xdr:col>
      <xdr:colOff>480695</xdr:colOff>
      <xdr:row>36</xdr:row>
      <xdr:rowOff>434975</xdr:rowOff>
    </xdr:to>
    <xdr:pic>
      <xdr:nvPicPr>
        <xdr:cNvPr id="21" name="Graphic 2" descr="Hourglass Finished with solid fill"/>
        <xdr:cNvPicPr>
          <a:picLocks noChangeAspect="1"/>
        </xdr:cNvPicPr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291955" y="8471535"/>
          <a:ext cx="330200" cy="322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161925</xdr:colOff>
      <xdr:row>36</xdr:row>
      <xdr:rowOff>112395</xdr:rowOff>
    </xdr:from>
    <xdr:to>
      <xdr:col>18</xdr:col>
      <xdr:colOff>573405</xdr:colOff>
      <xdr:row>36</xdr:row>
      <xdr:rowOff>508635</xdr:rowOff>
    </xdr:to>
    <xdr:pic>
      <xdr:nvPicPr>
        <xdr:cNvPr id="22" name="Graphic 6" descr="Rating Star with solid fill"/>
        <xdr:cNvPicPr>
          <a:picLocks noChangeAspect="1"/>
        </xdr:cNvPicPr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12100560" y="8471535"/>
          <a:ext cx="411480" cy="396240"/>
        </a:xfrm>
        <a:prstGeom prst="rect">
          <a:avLst/>
        </a:prstGeom>
      </xdr:spPr>
    </xdr:pic>
    <xdr:clientData/>
  </xdr:twoCellAnchor>
  <xdr:twoCellAnchor editAs="oneCell">
    <xdr:from>
      <xdr:col>22</xdr:col>
      <xdr:colOff>138430</xdr:colOff>
      <xdr:row>36</xdr:row>
      <xdr:rowOff>112395</xdr:rowOff>
    </xdr:from>
    <xdr:to>
      <xdr:col>22</xdr:col>
      <xdr:colOff>465455</xdr:colOff>
      <xdr:row>36</xdr:row>
      <xdr:rowOff>426085</xdr:rowOff>
    </xdr:to>
    <xdr:pic>
      <xdr:nvPicPr>
        <xdr:cNvPr id="23" name="Graphic 1" descr="Star-struck face outline with solid fill"/>
        <xdr:cNvPicPr>
          <a:picLocks noChangeAspect="1"/>
        </xdr:cNvPicPr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4759305" y="8471535"/>
          <a:ext cx="327025" cy="3136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8.6215046296" refreshedBy="ishav" recordCount="1000">
  <cacheSource type="worksheet">
    <worksheetSource name="calls"/>
  </cacheSource>
  <cacheFields count="16">
    <cacheField name="Call number" numFmtId="0">
      <sharedItems count="1000">
        <s v="Call_7271"/>
        <s v="Call_7272"/>
        <s v="Call_7273"/>
        <s v="Call_7274"/>
        <s v="Call_7275"/>
        <s v="Call_7276"/>
        <s v="Call_7277"/>
        <s v="Call_7278"/>
        <s v="Call_7279"/>
        <s v="Call_7280"/>
        <s v="Call_7281"/>
        <s v="Call_7282"/>
        <s v="Call_7283"/>
        <s v="Call_7284"/>
        <s v="Call_7285"/>
        <s v="Call_7286"/>
        <s v="Call_7287"/>
        <s v="Call_7288"/>
        <s v="Call_7289"/>
        <s v="Call_7290"/>
        <s v="Call_7291"/>
        <s v="Call_7292"/>
        <s v="Call_7293"/>
        <s v="Call_7294"/>
        <s v="Call_7295"/>
        <s v="Call_7296"/>
        <s v="Call_7297"/>
        <s v="Call_7298"/>
        <s v="Call_7299"/>
        <s v="Call_7300"/>
        <s v="Call_7301"/>
        <s v="Call_7302"/>
        <s v="Call_7303"/>
        <s v="Call_7304"/>
        <s v="Call_7305"/>
        <s v="Call_7306"/>
        <s v="Call_7307"/>
        <s v="Call_7308"/>
        <s v="Call_7309"/>
        <s v="Call_7310"/>
        <s v="Call_7311"/>
        <s v="Call_7312"/>
        <s v="Call_7313"/>
        <s v="Call_7314"/>
        <s v="Call_7315"/>
        <s v="Call_7316"/>
        <s v="Call_7317"/>
        <s v="Call_7318"/>
        <s v="Call_7319"/>
        <s v="Call_7320"/>
        <s v="Call_7321"/>
        <s v="Call_7322"/>
        <s v="Call_7323"/>
        <s v="Call_7324"/>
        <s v="Call_7325"/>
        <s v="Call_7326"/>
        <s v="Call_7327"/>
        <s v="Call_7328"/>
        <s v="Call_7329"/>
        <s v="Call_7330"/>
        <s v="Call_7331"/>
        <s v="Call_7332"/>
        <s v="Call_7333"/>
        <s v="Call_7334"/>
        <s v="Call_7335"/>
        <s v="Call_7336"/>
        <s v="Call_7337"/>
        <s v="Call_7338"/>
        <s v="Call_7339"/>
        <s v="Call_7340"/>
        <s v="Call_7341"/>
        <s v="Call_7342"/>
        <s v="Call_7343"/>
        <s v="Call_7344"/>
        <s v="Call_7345"/>
        <s v="Call_7346"/>
        <s v="Call_7347"/>
        <s v="Call_7348"/>
        <s v="Call_7349"/>
        <s v="Call_7350"/>
        <s v="Call_7351"/>
        <s v="Call_7352"/>
        <s v="Call_7353"/>
        <s v="Call_7354"/>
        <s v="Call_7355"/>
        <s v="Call_7356"/>
        <s v="Call_7357"/>
        <s v="Call_7358"/>
        <s v="Call_7359"/>
        <s v="Call_7360"/>
        <s v="Call_7361"/>
        <s v="Call_7362"/>
        <s v="Call_7363"/>
        <s v="Call_7364"/>
        <s v="Call_7365"/>
        <s v="Call_7366"/>
        <s v="Call_7367"/>
        <s v="Call_7368"/>
        <s v="Call_7369"/>
        <s v="Call_7370"/>
        <s v="Call_7371"/>
        <s v="Call_7372"/>
        <s v="Call_7373"/>
        <s v="Call_7374"/>
        <s v="Call_7375"/>
        <s v="Call_7376"/>
        <s v="Call_7377"/>
        <s v="Call_7378"/>
        <s v="Call_7379"/>
        <s v="Call_7380"/>
        <s v="Call_7381"/>
        <s v="Call_7382"/>
        <s v="Call_7383"/>
        <s v="Call_7384"/>
        <s v="Call_7385"/>
        <s v="Call_7386"/>
        <s v="Call_7387"/>
        <s v="Call_7388"/>
        <s v="Call_7389"/>
        <s v="Call_7390"/>
        <s v="Call_7391"/>
        <s v="Call_7392"/>
        <s v="Call_7393"/>
        <s v="Call_7394"/>
        <s v="Call_7395"/>
        <s v="Call_7396"/>
        <s v="Call_7397"/>
        <s v="Call_7398"/>
        <s v="Call_7399"/>
        <s v="Call_7400"/>
        <s v="Call_7401"/>
        <s v="Call_7402"/>
        <s v="Call_7403"/>
        <s v="Call_7404"/>
        <s v="Call_7405"/>
        <s v="Call_7406"/>
        <s v="Call_7407"/>
        <s v="Call_7408"/>
        <s v="Call_7409"/>
        <s v="Call_7410"/>
        <s v="Call_7411"/>
        <s v="Call_7412"/>
        <s v="Call_7413"/>
        <s v="Call_7414"/>
        <s v="Call_7415"/>
        <s v="Call_7416"/>
        <s v="Call_7417"/>
        <s v="Call_7418"/>
        <s v="Call_7419"/>
        <s v="Call_7420"/>
        <s v="Call_7421"/>
        <s v="Call_7422"/>
        <s v="Call_7423"/>
        <s v="Call_7424"/>
        <s v="Call_7425"/>
        <s v="Call_7426"/>
        <s v="Call_7427"/>
        <s v="Call_7428"/>
        <s v="Call_7429"/>
        <s v="Call_7430"/>
        <s v="Call_7431"/>
        <s v="Call_7432"/>
        <s v="Call_7433"/>
        <s v="Call_7434"/>
        <s v="Call_7435"/>
        <s v="Call_7436"/>
        <s v="Call_7437"/>
        <s v="Call_7438"/>
        <s v="Call_7439"/>
        <s v="Call_7440"/>
        <s v="Call_7441"/>
        <s v="Call_7442"/>
        <s v="Call_7443"/>
        <s v="Call_7444"/>
        <s v="Call_7445"/>
        <s v="Call_7446"/>
        <s v="Call_7447"/>
        <s v="Call_7448"/>
        <s v="Call_7449"/>
        <s v="Call_7450"/>
        <s v="Call_7451"/>
        <s v="Call_7452"/>
        <s v="Call_7453"/>
        <s v="Call_7454"/>
        <s v="Call_7455"/>
        <s v="Call_7456"/>
        <s v="Call_7457"/>
        <s v="Call_7458"/>
        <s v="Call_7459"/>
        <s v="Call_7460"/>
        <s v="Call_7461"/>
        <s v="Call_7462"/>
        <s v="Call_7463"/>
        <s v="Call_7464"/>
        <s v="Call_7465"/>
        <s v="Call_7466"/>
        <s v="Call_7467"/>
        <s v="Call_7468"/>
        <s v="Call_7469"/>
        <s v="Call_7470"/>
        <s v="Call_7471"/>
        <s v="Call_7472"/>
        <s v="Call_7473"/>
        <s v="Call_7474"/>
        <s v="Call_7475"/>
        <s v="Call_7476"/>
        <s v="Call_7477"/>
        <s v="Call_7478"/>
        <s v="Call_7479"/>
        <s v="Call_7480"/>
        <s v="Call_7481"/>
        <s v="Call_7482"/>
        <s v="Call_7483"/>
        <s v="Call_7484"/>
        <s v="Call_7485"/>
        <s v="Call_7486"/>
        <s v="Call_7487"/>
        <s v="Call_7488"/>
        <s v="Call_7489"/>
        <s v="Call_7490"/>
        <s v="Call_7491"/>
        <s v="Call_7492"/>
        <s v="Call_7493"/>
        <s v="Call_7494"/>
        <s v="Call_7495"/>
        <s v="Call_7496"/>
        <s v="Call_7497"/>
        <s v="Call_7498"/>
        <s v="Call_7499"/>
        <s v="Call_7500"/>
        <s v="Call_7501"/>
        <s v="Call_7502"/>
        <s v="Call_7503"/>
        <s v="Call_7504"/>
        <s v="Call_7505"/>
        <s v="Call_7506"/>
        <s v="Call_7507"/>
        <s v="Call_7508"/>
        <s v="Call_7509"/>
        <s v="Call_7510"/>
        <s v="Call_7511"/>
        <s v="Call_7512"/>
        <s v="Call_7513"/>
        <s v="Call_7514"/>
        <s v="Call_7515"/>
        <s v="Call_7516"/>
        <s v="Call_7517"/>
        <s v="Call_7518"/>
        <s v="Call_7519"/>
        <s v="Call_7520"/>
        <s v="Call_7521"/>
        <s v="Call_7522"/>
        <s v="Call_7523"/>
        <s v="Call_7524"/>
        <s v="Call_7525"/>
        <s v="Call_7526"/>
        <s v="Call_7527"/>
        <s v="Call_7528"/>
        <s v="Call_7529"/>
        <s v="Call_7530"/>
        <s v="Call_7531"/>
        <s v="Call_7532"/>
        <s v="Call_7533"/>
        <s v="Call_7534"/>
        <s v="Call_7535"/>
        <s v="Call_7536"/>
        <s v="Call_7537"/>
        <s v="Call_7538"/>
        <s v="Call_7539"/>
        <s v="Call_7540"/>
        <s v="Call_7541"/>
        <s v="Call_7542"/>
        <s v="Call_7543"/>
        <s v="Call_7544"/>
        <s v="Call_7545"/>
        <s v="Call_7546"/>
        <s v="Call_7547"/>
        <s v="Call_7548"/>
        <s v="Call_7549"/>
        <s v="Call_7550"/>
        <s v="Call_7551"/>
        <s v="Call_7552"/>
        <s v="Call_7553"/>
        <s v="Call_7554"/>
        <s v="Call_7555"/>
        <s v="Call_7556"/>
        <s v="Call_7557"/>
        <s v="Call_7558"/>
        <s v="Call_7559"/>
        <s v="Call_7560"/>
        <s v="Call_7561"/>
        <s v="Call_7562"/>
        <s v="Call_7563"/>
        <s v="Call_7564"/>
        <s v="Call_7565"/>
        <s v="Call_7566"/>
        <s v="Call_7567"/>
        <s v="Call_7568"/>
        <s v="Call_7569"/>
        <s v="Call_7570"/>
        <s v="Call_7571"/>
        <s v="Call_7572"/>
        <s v="Call_7573"/>
        <s v="Call_7574"/>
        <s v="Call_7575"/>
        <s v="Call_7576"/>
        <s v="Call_7577"/>
        <s v="Call_7578"/>
        <s v="Call_7579"/>
        <s v="Call_7580"/>
        <s v="Call_7581"/>
        <s v="Call_7582"/>
        <s v="Call_7583"/>
        <s v="Call_7584"/>
        <s v="Call_7585"/>
        <s v="Call_7586"/>
        <s v="Call_7587"/>
        <s v="Call_7588"/>
        <s v="Call_7589"/>
        <s v="Call_7590"/>
        <s v="Call_7591"/>
        <s v="Call_7592"/>
        <s v="Call_7593"/>
        <s v="Call_7594"/>
        <s v="Call_7595"/>
        <s v="Call_7596"/>
        <s v="Call_7597"/>
        <s v="Call_7598"/>
        <s v="Call_7599"/>
        <s v="Call_7600"/>
        <s v="Call_7601"/>
        <s v="Call_7602"/>
        <s v="Call_7603"/>
        <s v="Call_7604"/>
        <s v="Call_7605"/>
        <s v="Call_7606"/>
        <s v="Call_7607"/>
        <s v="Call_7608"/>
        <s v="Call_7609"/>
        <s v="Call_7610"/>
        <s v="Call_7611"/>
        <s v="Call_7612"/>
        <s v="Call_7613"/>
        <s v="Call_7614"/>
        <s v="Call_7615"/>
        <s v="Call_7616"/>
        <s v="Call_7617"/>
        <s v="Call_7618"/>
        <s v="Call_7619"/>
        <s v="Call_7620"/>
        <s v="Call_7621"/>
        <s v="Call_7622"/>
        <s v="Call_7623"/>
        <s v="Call_7624"/>
        <s v="Call_7625"/>
        <s v="Call_7626"/>
        <s v="Call_7627"/>
        <s v="Call_7628"/>
        <s v="Call_7629"/>
        <s v="Call_7630"/>
        <s v="Call_7631"/>
        <s v="Call_7632"/>
        <s v="Call_7633"/>
        <s v="Call_7634"/>
        <s v="Call_7635"/>
        <s v="Call_7636"/>
        <s v="Call_7637"/>
        <s v="Call_7638"/>
        <s v="Call_7639"/>
        <s v="Call_7640"/>
        <s v="Call_7641"/>
        <s v="Call_7642"/>
        <s v="Call_7643"/>
        <s v="Call_7644"/>
        <s v="Call_7645"/>
        <s v="Call_7646"/>
        <s v="Call_7647"/>
        <s v="Call_7648"/>
        <s v="Call_7649"/>
        <s v="Call_7650"/>
        <s v="Call_7651"/>
        <s v="Call_7652"/>
        <s v="Call_7653"/>
        <s v="Call_7654"/>
        <s v="Call_7655"/>
        <s v="Call_7656"/>
        <s v="Call_7657"/>
        <s v="Call_7658"/>
        <s v="Call_7659"/>
        <s v="Call_7660"/>
        <s v="Call_7661"/>
        <s v="Call_7662"/>
        <s v="Call_7663"/>
        <s v="Call_7664"/>
        <s v="Call_7665"/>
        <s v="Call_7666"/>
        <s v="Call_7667"/>
        <s v="Call_7668"/>
        <s v="Call_7669"/>
        <s v="Call_7670"/>
        <s v="Call_7671"/>
        <s v="Call_7672"/>
        <s v="Call_7673"/>
        <s v="Call_7674"/>
        <s v="Call_7675"/>
        <s v="Call_7676"/>
        <s v="Call_7677"/>
        <s v="Call_7678"/>
        <s v="Call_7679"/>
        <s v="Call_7680"/>
        <s v="Call_7681"/>
        <s v="Call_7682"/>
        <s v="Call_7683"/>
        <s v="Call_7684"/>
        <s v="Call_7685"/>
        <s v="Call_7686"/>
        <s v="Call_7687"/>
        <s v="Call_7688"/>
        <s v="Call_7689"/>
        <s v="Call_7690"/>
        <s v="Call_7691"/>
        <s v="Call_7692"/>
        <s v="Call_7693"/>
        <s v="Call_7694"/>
        <s v="Call_7695"/>
        <s v="Call_7696"/>
        <s v="Call_7697"/>
        <s v="Call_7698"/>
        <s v="Call_7699"/>
        <s v="Call_7700"/>
        <s v="Call_7701"/>
        <s v="Call_7702"/>
        <s v="Call_7703"/>
        <s v="Call_7704"/>
        <s v="Call_7705"/>
        <s v="Call_7706"/>
        <s v="Call_7707"/>
        <s v="Call_7708"/>
        <s v="Call_7709"/>
        <s v="Call_7710"/>
        <s v="Call_7711"/>
        <s v="Call_7712"/>
        <s v="Call_7713"/>
        <s v="Call_7714"/>
        <s v="Call_7715"/>
        <s v="Call_7716"/>
        <s v="Call_7717"/>
        <s v="Call_7718"/>
        <s v="Call_7719"/>
        <s v="Call_7720"/>
        <s v="Call_7721"/>
        <s v="Call_7722"/>
        <s v="Call_7723"/>
        <s v="Call_7724"/>
        <s v="Call_7725"/>
        <s v="Call_7726"/>
        <s v="Call_7727"/>
        <s v="Call_7728"/>
        <s v="Call_7729"/>
        <s v="Call_7730"/>
        <s v="Call_7731"/>
        <s v="Call_7732"/>
        <s v="Call_7733"/>
        <s v="Call_7734"/>
        <s v="Call_7735"/>
        <s v="Call_7736"/>
        <s v="Call_7737"/>
        <s v="Call_7738"/>
        <s v="Call_7739"/>
        <s v="Call_7740"/>
        <s v="Call_7741"/>
        <s v="Call_7742"/>
        <s v="Call_7743"/>
        <s v="Call_7744"/>
        <s v="Call_7745"/>
        <s v="Call_7746"/>
        <s v="Call_7747"/>
        <s v="Call_7748"/>
        <s v="Call_7749"/>
        <s v="Call_7750"/>
        <s v="Call_7751"/>
        <s v="Call_7752"/>
        <s v="Call_7753"/>
        <s v="Call_7754"/>
        <s v="Call_7755"/>
        <s v="Call_7756"/>
        <s v="Call_7757"/>
        <s v="Call_7758"/>
        <s v="Call_7759"/>
        <s v="Call_7760"/>
        <s v="Call_7761"/>
        <s v="Call_7762"/>
        <s v="Call_7763"/>
        <s v="Call_7764"/>
        <s v="Call_7765"/>
        <s v="Call_7766"/>
        <s v="Call_7767"/>
        <s v="Call_7768"/>
        <s v="Call_7769"/>
        <s v="Call_7770"/>
        <s v="Call_7771"/>
        <s v="Call_7772"/>
        <s v="Call_7773"/>
        <s v="Call_7774"/>
        <s v="Call_7775"/>
        <s v="Call_7776"/>
        <s v="Call_7777"/>
        <s v="Call_7778"/>
        <s v="Call_7779"/>
        <s v="Call_7780"/>
        <s v="Call_7781"/>
        <s v="Call_7782"/>
        <s v="Call_7783"/>
        <s v="Call_7784"/>
        <s v="Call_7785"/>
        <s v="Call_7786"/>
        <s v="Call_7787"/>
        <s v="Call_7788"/>
        <s v="Call_7789"/>
        <s v="Call_7790"/>
        <s v="Call_7791"/>
        <s v="Call_7792"/>
        <s v="Call_7793"/>
        <s v="Call_7794"/>
        <s v="Call_7795"/>
        <s v="Call_7796"/>
        <s v="Call_7797"/>
        <s v="Call_7798"/>
        <s v="Call_7799"/>
        <s v="Call_7800"/>
        <s v="Call_7801"/>
        <s v="Call_7802"/>
        <s v="Call_7803"/>
        <s v="Call_7804"/>
        <s v="Call_7805"/>
        <s v="Call_7806"/>
        <s v="Call_7807"/>
        <s v="Call_7808"/>
        <s v="Call_7809"/>
        <s v="Call_7810"/>
        <s v="Call_7811"/>
        <s v="Call_7812"/>
        <s v="Call_7813"/>
        <s v="Call_7814"/>
        <s v="Call_7815"/>
        <s v="Call_7816"/>
        <s v="Call_7817"/>
        <s v="Call_7818"/>
        <s v="Call_7819"/>
        <s v="Call_7820"/>
        <s v="Call_7821"/>
        <s v="Call_7822"/>
        <s v="Call_7823"/>
        <s v="Call_7824"/>
        <s v="Call_7825"/>
        <s v="Call_7826"/>
        <s v="Call_7827"/>
        <s v="Call_7828"/>
        <s v="Call_7829"/>
        <s v="Call_7830"/>
        <s v="Call_7831"/>
        <s v="Call_7832"/>
        <s v="Call_7833"/>
        <s v="Call_7834"/>
        <s v="Call_7835"/>
        <s v="Call_7836"/>
        <s v="Call_7837"/>
        <s v="Call_7838"/>
        <s v="Call_7839"/>
        <s v="Call_7840"/>
        <s v="Call_7841"/>
        <s v="Call_7842"/>
        <s v="Call_7843"/>
        <s v="Call_7844"/>
        <s v="Call_7845"/>
        <s v="Call_7846"/>
        <s v="Call_7847"/>
        <s v="Call_7848"/>
        <s v="Call_7849"/>
        <s v="Call_7850"/>
        <s v="Call_7851"/>
        <s v="Call_7852"/>
        <s v="Call_7853"/>
        <s v="Call_7854"/>
        <s v="Call_7855"/>
        <s v="Call_7856"/>
        <s v="Call_7857"/>
        <s v="Call_7858"/>
        <s v="Call_7859"/>
        <s v="Call_7860"/>
        <s v="Call_7861"/>
        <s v="Call_7862"/>
        <s v="Call_7863"/>
        <s v="Call_7864"/>
        <s v="Call_7865"/>
        <s v="Call_7866"/>
        <s v="Call_7867"/>
        <s v="Call_7868"/>
        <s v="Call_7869"/>
        <s v="Call_7870"/>
        <s v="Call_7871"/>
        <s v="Call_7872"/>
        <s v="Call_7873"/>
        <s v="Call_7874"/>
        <s v="Call_7875"/>
        <s v="Call_7876"/>
        <s v="Call_7877"/>
        <s v="Call_7878"/>
        <s v="Call_7879"/>
        <s v="Call_7880"/>
        <s v="Call_7881"/>
        <s v="Call_7882"/>
        <s v="Call_7883"/>
        <s v="Call_7884"/>
        <s v="Call_7885"/>
        <s v="Call_7886"/>
        <s v="Call_7887"/>
        <s v="Call_7888"/>
        <s v="Call_7889"/>
        <s v="Call_7890"/>
        <s v="Call_7891"/>
        <s v="Call_7892"/>
        <s v="Call_7893"/>
        <s v="Call_7894"/>
        <s v="Call_7895"/>
        <s v="Call_7896"/>
        <s v="Call_7897"/>
        <s v="Call_7898"/>
        <s v="Call_7899"/>
        <s v="Call_7900"/>
        <s v="Call_7901"/>
        <s v="Call_7902"/>
        <s v="Call_7903"/>
        <s v="Call_7904"/>
        <s v="Call_7905"/>
        <s v="Call_7906"/>
        <s v="Call_7907"/>
        <s v="Call_7908"/>
        <s v="Call_7909"/>
        <s v="Call_7910"/>
        <s v="Call_7911"/>
        <s v="Call_7912"/>
        <s v="Call_7913"/>
        <s v="Call_7914"/>
        <s v="Call_7915"/>
        <s v="Call_7916"/>
        <s v="Call_7917"/>
        <s v="Call_7918"/>
        <s v="Call_7919"/>
        <s v="Call_7920"/>
        <s v="Call_7921"/>
        <s v="Call_7922"/>
        <s v="Call_7923"/>
        <s v="Call_7924"/>
        <s v="Call_7925"/>
        <s v="Call_7926"/>
        <s v="Call_7927"/>
        <s v="Call_7928"/>
        <s v="Call_7929"/>
        <s v="Call_7930"/>
        <s v="Call_7931"/>
        <s v="Call_7932"/>
        <s v="Call_7933"/>
        <s v="Call_7934"/>
        <s v="Call_7935"/>
        <s v="Call_7936"/>
        <s v="Call_7937"/>
        <s v="Call_7938"/>
        <s v="Call_7939"/>
        <s v="Call_7940"/>
        <s v="Call_7941"/>
        <s v="Call_7942"/>
        <s v="Call_7943"/>
        <s v="Call_7944"/>
        <s v="Call_7945"/>
        <s v="Call_7946"/>
        <s v="Call_7947"/>
        <s v="Call_7948"/>
        <s v="Call_7949"/>
        <s v="Call_7950"/>
        <s v="Call_7951"/>
        <s v="Call_7952"/>
        <s v="Call_7953"/>
        <s v="Call_7954"/>
        <s v="Call_7955"/>
        <s v="Call_7956"/>
        <s v="Call_7957"/>
        <s v="Call_7958"/>
        <s v="Call_7959"/>
        <s v="Call_7960"/>
        <s v="Call_7961"/>
        <s v="Call_7962"/>
        <s v="Call_7963"/>
        <s v="Call_7964"/>
        <s v="Call_7965"/>
        <s v="Call_7966"/>
        <s v="Call_7967"/>
        <s v="Call_7968"/>
        <s v="Call_7969"/>
        <s v="Call_7970"/>
        <s v="Call_7971"/>
        <s v="Call_7972"/>
        <s v="Call_7973"/>
        <s v="Call_7974"/>
        <s v="Call_7975"/>
        <s v="Call_7976"/>
        <s v="Call_7977"/>
        <s v="Call_7978"/>
        <s v="Call_7979"/>
        <s v="Call_7980"/>
        <s v="Call_7981"/>
        <s v="Call_7982"/>
        <s v="Call_7983"/>
        <s v="Call_7984"/>
        <s v="Call_7985"/>
        <s v="Call_7986"/>
        <s v="Call_7987"/>
        <s v="Call_7988"/>
        <s v="Call_7989"/>
        <s v="Call_7990"/>
        <s v="Call_7991"/>
        <s v="Call_7992"/>
        <s v="Call_7993"/>
        <s v="Call_7994"/>
        <s v="Call_7995"/>
        <s v="Call_7996"/>
        <s v="Call_7997"/>
        <s v="Call_7998"/>
        <s v="Call_7999"/>
        <s v="Call_8000"/>
        <s v="Call_8001"/>
        <s v="Call_8002"/>
        <s v="Call_8003"/>
        <s v="Call_8004"/>
        <s v="Call_8005"/>
        <s v="Call_8006"/>
        <s v="Call_8007"/>
        <s v="Call_8008"/>
        <s v="Call_8009"/>
        <s v="Call_8010"/>
        <s v="Call_8011"/>
        <s v="Call_8012"/>
        <s v="Call_8013"/>
        <s v="Call_8014"/>
        <s v="Call_8015"/>
        <s v="Call_8016"/>
        <s v="Call_8017"/>
        <s v="Call_8018"/>
        <s v="Call_8019"/>
        <s v="Call_8020"/>
        <s v="Call_8021"/>
        <s v="Call_8022"/>
        <s v="Call_8023"/>
        <s v="Call_8024"/>
        <s v="Call_8025"/>
        <s v="Call_8026"/>
        <s v="Call_8027"/>
        <s v="Call_8028"/>
        <s v="Call_8029"/>
        <s v="Call_8030"/>
        <s v="Call_8031"/>
        <s v="Call_8032"/>
        <s v="Call_8033"/>
        <s v="Call_8034"/>
        <s v="Call_8035"/>
        <s v="Call_8036"/>
        <s v="Call_8037"/>
        <s v="Call_8038"/>
        <s v="Call_8039"/>
        <s v="Call_8040"/>
        <s v="Call_8041"/>
        <s v="Call_8042"/>
        <s v="Call_8043"/>
        <s v="Call_8044"/>
        <s v="Call_8045"/>
        <s v="Call_8046"/>
        <s v="Call_8047"/>
        <s v="Call_8048"/>
        <s v="Call_8049"/>
        <s v="Call_8050"/>
        <s v="Call_8051"/>
        <s v="Call_8052"/>
        <s v="Call_8053"/>
        <s v="Call_8054"/>
        <s v="Call_8055"/>
        <s v="Call_8056"/>
        <s v="Call_8057"/>
        <s v="Call_8058"/>
        <s v="Call_8059"/>
        <s v="Call_8060"/>
        <s v="Call_8061"/>
        <s v="Call_8062"/>
        <s v="Call_8063"/>
        <s v="Call_8064"/>
        <s v="Call_8065"/>
        <s v="Call_8066"/>
        <s v="Call_8067"/>
        <s v="Call_8068"/>
        <s v="Call_8069"/>
        <s v="Call_8070"/>
        <s v="Call_8071"/>
        <s v="Call_8072"/>
        <s v="Call_8073"/>
        <s v="Call_8074"/>
        <s v="Call_8075"/>
        <s v="Call_8076"/>
        <s v="Call_8077"/>
        <s v="Call_8078"/>
        <s v="Call_8079"/>
        <s v="Call_8080"/>
        <s v="Call_8081"/>
        <s v="Call_8082"/>
        <s v="Call_8083"/>
        <s v="Call_8084"/>
        <s v="Call_8085"/>
        <s v="Call_8086"/>
        <s v="Call_8087"/>
        <s v="Call_8088"/>
        <s v="Call_8089"/>
        <s v="Call_8090"/>
        <s v="Call_8091"/>
        <s v="Call_8092"/>
        <s v="Call_8093"/>
        <s v="Call_8094"/>
        <s v="Call_8095"/>
        <s v="Call_8096"/>
        <s v="Call_8097"/>
        <s v="Call_8098"/>
        <s v="Call_8099"/>
        <s v="Call_8100"/>
        <s v="Call_8101"/>
        <s v="Call_8102"/>
        <s v="Call_8103"/>
        <s v="Call_8104"/>
        <s v="Call_8105"/>
        <s v="Call_8106"/>
        <s v="Call_8107"/>
        <s v="Call_8108"/>
        <s v="Call_8109"/>
        <s v="Call_8110"/>
        <s v="Call_8111"/>
        <s v="Call_8112"/>
        <s v="Call_8113"/>
        <s v="Call_8114"/>
        <s v="Call_8115"/>
        <s v="Call_8116"/>
        <s v="Call_8117"/>
        <s v="Call_8118"/>
        <s v="Call_8119"/>
        <s v="Call_8120"/>
        <s v="Call_8121"/>
        <s v="Call_8122"/>
        <s v="Call_8123"/>
        <s v="Call_8124"/>
        <s v="Call_8125"/>
        <s v="Call_8126"/>
        <s v="Call_8127"/>
        <s v="Call_8128"/>
        <s v="Call_8129"/>
        <s v="Call_8130"/>
        <s v="Call_8131"/>
        <s v="Call_8132"/>
        <s v="Call_8133"/>
        <s v="Call_8134"/>
        <s v="Call_8135"/>
        <s v="Call_8136"/>
        <s v="Call_8137"/>
        <s v="Call_8138"/>
        <s v="Call_8139"/>
        <s v="Call_8140"/>
        <s v="Call_8141"/>
        <s v="Call_8142"/>
        <s v="Call_8143"/>
        <s v="Call_8144"/>
        <s v="Call_8145"/>
        <s v="Call_8146"/>
        <s v="Call_8147"/>
        <s v="Call_8148"/>
        <s v="Call_8149"/>
        <s v="Call_8150"/>
        <s v="Call_8151"/>
        <s v="Call_8152"/>
        <s v="Call_8153"/>
        <s v="Call_8154"/>
        <s v="Call_8155"/>
        <s v="Call_8156"/>
        <s v="Call_8157"/>
        <s v="Call_8158"/>
        <s v="Call_8159"/>
        <s v="Call_8160"/>
        <s v="Call_8161"/>
        <s v="Call_8162"/>
        <s v="Call_8163"/>
        <s v="Call_8164"/>
        <s v="Call_8165"/>
        <s v="Call_8166"/>
        <s v="Call_8167"/>
        <s v="Call_8168"/>
        <s v="Call_8169"/>
        <s v="Call_8170"/>
        <s v="Call_8171"/>
        <s v="Call_8172"/>
        <s v="Call_8173"/>
        <s v="Call_8174"/>
        <s v="Call_8175"/>
        <s v="Call_8176"/>
        <s v="Call_8177"/>
        <s v="Call_8178"/>
        <s v="Call_8179"/>
        <s v="Call_8180"/>
        <s v="Call_8181"/>
        <s v="Call_8182"/>
        <s v="Call_8183"/>
        <s v="Call_8184"/>
        <s v="Call_8185"/>
        <s v="Call_8186"/>
        <s v="Call_8187"/>
        <s v="Call_8188"/>
        <s v="Call_8189"/>
        <s v="Call_8190"/>
        <s v="Call_8191"/>
        <s v="Call_8192"/>
        <s v="Call_8193"/>
        <s v="Call_8194"/>
        <s v="Call_8195"/>
        <s v="Call_8196"/>
        <s v="Call_8197"/>
        <s v="Call_8198"/>
        <s v="Call_8199"/>
        <s v="Call_8200"/>
        <s v="Call_8201"/>
        <s v="Call_8202"/>
        <s v="Call_8203"/>
        <s v="Call_8204"/>
        <s v="Call_8205"/>
        <s v="Call_8206"/>
        <s v="Call_8207"/>
        <s v="Call_8208"/>
        <s v="Call_8209"/>
        <s v="Call_8210"/>
        <s v="Call_8211"/>
        <s v="Call_8212"/>
        <s v="Call_8213"/>
        <s v="Call_8214"/>
        <s v="Call_8215"/>
        <s v="Call_8216"/>
        <s v="Call_8217"/>
        <s v="Call_8218"/>
        <s v="Call_8219"/>
        <s v="Call_8220"/>
        <s v="Call_8221"/>
        <s v="Call_8222"/>
        <s v="Call_8223"/>
        <s v="Call_8224"/>
        <s v="Call_8225"/>
        <s v="Call_8226"/>
        <s v="Call_8227"/>
        <s v="Call_8228"/>
        <s v="Call_8229"/>
        <s v="Call_8230"/>
        <s v="Call_8231"/>
        <s v="Call_8232"/>
        <s v="Call_8233"/>
        <s v="Call_8234"/>
        <s v="Call_8235"/>
        <s v="Call_8236"/>
        <s v="Call_8237"/>
        <s v="Call_8238"/>
        <s v="Call_8239"/>
        <s v="Call_8240"/>
        <s v="Call_8241"/>
        <s v="Call_8242"/>
        <s v="Call_8243"/>
        <s v="Call_8244"/>
        <s v="Call_8245"/>
        <s v="Call_8246"/>
        <s v="Call_8247"/>
        <s v="Call_8248"/>
        <s v="Call_8249"/>
        <s v="Call_8250"/>
        <s v="Call_8251"/>
        <s v="Call_8252"/>
        <s v="Call_8253"/>
        <s v="Call_8254"/>
        <s v="Call_8255"/>
        <s v="Call_8256"/>
        <s v="Call_8257"/>
        <s v="Call_8258"/>
        <s v="Call_8259"/>
        <s v="Call_8260"/>
        <s v="Call_8261"/>
        <s v="Call_8262"/>
        <s v="Call_8263"/>
        <s v="Call_8264"/>
        <s v="Call_8265"/>
        <s v="Call_8266"/>
        <s v="Call_8267"/>
        <s v="Call_8268"/>
        <s v="Call_8269"/>
        <s v="Call_8270"/>
      </sharedItems>
    </cacheField>
    <cacheField name="Customer ID" numFmtId="0">
      <sharedItems count="15">
        <s v="C0003"/>
        <s v="C0004"/>
        <s v="C0005"/>
        <s v="C0014"/>
        <s v="C0011"/>
        <s v="C0007"/>
        <s v="C0010"/>
        <s v="C0013"/>
        <s v="C0002"/>
        <s v="C0009"/>
        <s v="C0006"/>
        <s v="C0015"/>
        <s v="C0012"/>
        <s v="C0001"/>
        <s v="C0008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43" count="13">
        <n v="26"/>
        <n v="36"/>
        <n v="37"/>
        <n v="38"/>
        <n v="30"/>
        <n v="22"/>
        <n v="31"/>
        <n v="25"/>
        <n v="23"/>
        <n v="43"/>
        <n v="28"/>
        <n v="41"/>
        <n v="42"/>
      </sharedItems>
    </cacheField>
    <cacheField name="City" numFmtId="0">
      <sharedItems count="3">
        <s v="Cincinnati"/>
        <s v="Columbus"/>
        <s v="Cleveland"/>
      </sharedItems>
    </cacheField>
    <cacheField name="Duration" numFmtId="0">
      <sharedItems containsSemiMixedTypes="0" containsString="0" containsNumber="1" containsInteger="1" minValue="2" maxValue="176" count="164">
        <n v="116"/>
        <n v="119"/>
        <n v="68"/>
        <n v="128"/>
        <n v="49"/>
        <n v="84"/>
        <n v="103"/>
        <n v="31"/>
        <n v="44"/>
        <n v="102"/>
        <n v="135"/>
        <n v="98"/>
        <n v="139"/>
        <n v="48"/>
        <n v="176"/>
        <n v="99"/>
        <n v="28"/>
        <n v="54"/>
        <n v="38"/>
        <n v="67"/>
        <n v="58"/>
        <n v="73"/>
        <n v="81"/>
        <n v="155"/>
        <n v="80"/>
        <n v="82"/>
        <n v="29"/>
        <n v="160"/>
        <n v="105"/>
        <n v="75"/>
        <n v="94"/>
        <n v="90"/>
        <n v="106"/>
        <n v="74"/>
        <n v="89"/>
        <n v="132"/>
        <n v="13"/>
        <n v="131"/>
        <n v="104"/>
        <n v="37"/>
        <n v="149"/>
        <n v="100"/>
        <n v="79"/>
        <n v="157"/>
        <n v="59"/>
        <n v="83"/>
        <n v="118"/>
        <n v="63"/>
        <n v="95"/>
        <n v="130"/>
        <n v="110"/>
        <n v="71"/>
        <n v="147"/>
        <n v="69"/>
        <n v="50"/>
        <n v="124"/>
        <n v="141"/>
        <n v="168"/>
        <n v="101"/>
        <n v="114"/>
        <n v="42"/>
        <n v="145"/>
        <n v="43"/>
        <n v="62"/>
        <n v="45"/>
        <n v="137"/>
        <n v="109"/>
        <n v="78"/>
        <n v="47"/>
        <n v="87"/>
        <n v="143"/>
        <n v="55"/>
        <n v="152"/>
        <n v="60"/>
        <n v="96"/>
        <n v="111"/>
        <n v="127"/>
        <n v="76"/>
        <n v="30"/>
        <n v="19"/>
        <n v="27"/>
        <n v="32"/>
        <n v="57"/>
        <n v="65"/>
        <n v="61"/>
        <n v="154"/>
        <n v="115"/>
        <n v="138"/>
        <n v="153"/>
        <n v="151"/>
        <n v="64"/>
        <n v="6"/>
        <n v="129"/>
        <n v="53"/>
        <n v="166"/>
        <n v="70"/>
        <n v="86"/>
        <n v="113"/>
        <n v="21"/>
        <n v="107"/>
        <n v="11"/>
        <n v="40"/>
        <n v="92"/>
        <n v="41"/>
        <n v="134"/>
        <n v="20"/>
        <n v="85"/>
        <n v="93"/>
        <n v="56"/>
        <n v="46"/>
        <n v="121"/>
        <n v="144"/>
        <n v="142"/>
        <n v="72"/>
        <n v="123"/>
        <n v="140"/>
        <n v="126"/>
        <n v="88"/>
        <n v="125"/>
        <n v="158"/>
        <n v="77"/>
        <n v="39"/>
        <n v="133"/>
        <n v="23"/>
        <n v="150"/>
        <n v="36"/>
        <n v="8"/>
        <n v="159"/>
        <n v="25"/>
        <n v="91"/>
        <n v="108"/>
        <n v="66"/>
        <n v="17"/>
        <n v="165"/>
        <n v="120"/>
        <n v="24"/>
        <n v="163"/>
        <n v="26"/>
        <n v="15"/>
        <n v="156"/>
        <n v="14"/>
        <n v="112"/>
        <n v="35"/>
        <n v="52"/>
        <n v="34"/>
        <n v="51"/>
        <n v="117"/>
        <n v="33"/>
        <n v="146"/>
        <n v="148"/>
        <n v="122"/>
        <n v="136"/>
        <n v="172"/>
        <n v="162"/>
        <n v="10"/>
        <n v="164"/>
        <n v="97"/>
        <n v="18"/>
        <n v="12"/>
        <n v="4"/>
        <n v="173"/>
        <n v="171"/>
        <n v="2"/>
        <n v="7"/>
      </sharedItems>
    </cacheField>
    <cacheField name="Representative" numFmtId="2">
      <sharedItems count="5">
        <s v="R05"/>
        <s v="R02"/>
        <s v="R01"/>
        <s v="R04"/>
        <s v="R03"/>
      </sharedItems>
    </cacheField>
    <cacheField name="Date of Call" numFmtId="186">
      <sharedItems containsSemiMixedTypes="0" containsString="0" containsNonDate="0" containsDate="1" minDate="2023-01-01T00:00:00" maxDate="2023-12-31T00:00:00" count="33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2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5T00:00:00"/>
        <d v="2023-07-26T00:00:00"/>
        <d v="2023-07-27T00:00:00"/>
        <d v="2023-07-28T00:00:00"/>
        <d v="2023-07-29T00:00:00"/>
        <d v="2023-07-3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10T00:00:00"/>
        <d v="2023-08-12T00:00:00"/>
        <d v="2023-08-13T00:00:00"/>
        <d v="2023-08-16T00:00:00"/>
        <d v="2023-08-17T00:00:00"/>
        <d v="2023-08-18T00:00:00"/>
        <d v="2023-08-19T00:00:00"/>
        <d v="2023-08-20T00:00:00"/>
        <d v="2023-08-21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3T00:00:00"/>
        <d v="2023-11-24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5"/>
    </cacheField>
    <cacheField name="Purchase Amount" numFmtId="0">
      <sharedItems containsSemiMixedTypes="0" containsString="0" containsNumber="1" containsInteger="1" minValue="20" maxValue="225" count="107">
        <n v="128"/>
        <n v="135"/>
        <n v="66"/>
        <n v="22"/>
        <n v="31"/>
        <n v="60"/>
        <n v="148"/>
        <n v="105"/>
        <n v="69"/>
        <n v="46"/>
        <n v="108"/>
        <n v="96"/>
        <n v="68"/>
        <n v="24"/>
        <n v="195"/>
        <n v="28"/>
        <n v="170"/>
        <n v="30"/>
        <n v="72"/>
        <n v="92"/>
        <n v="165"/>
        <n v="140"/>
        <n v="111"/>
        <n v="63"/>
        <n v="80"/>
        <n v="50"/>
        <n v="123"/>
        <n v="110"/>
        <n v="42"/>
        <n v="125"/>
        <n v="26"/>
        <n v="120"/>
        <n v="132"/>
        <n v="86"/>
        <n v="155"/>
        <n v="168"/>
        <n v="56"/>
        <n v="32"/>
        <n v="78"/>
        <n v="64"/>
        <n v="136"/>
        <n v="126"/>
        <n v="160"/>
        <n v="48"/>
        <n v="90"/>
        <n v="40"/>
        <n v="215"/>
        <n v="156"/>
        <n v="54"/>
        <n v="205"/>
        <n v="23"/>
        <n v="99"/>
        <n v="34"/>
        <n v="62"/>
        <n v="112"/>
        <n v="124"/>
        <n v="35"/>
        <n v="43"/>
        <n v="130"/>
        <n v="84"/>
        <n v="172"/>
        <n v="74"/>
        <n v="100"/>
        <n v="70"/>
        <n v="37"/>
        <n v="21"/>
        <n v="88"/>
        <n v="180"/>
        <n v="52"/>
        <n v="150"/>
        <n v="200"/>
        <n v="102"/>
        <n v="104"/>
        <n v="36"/>
        <n v="114"/>
        <n v="75"/>
        <n v="93"/>
        <n v="39"/>
        <n v="25"/>
        <n v="27"/>
        <n v="210"/>
        <n v="58"/>
        <n v="45"/>
        <n v="117"/>
        <n v="164"/>
        <n v="44"/>
        <n v="129"/>
        <n v="29"/>
        <n v="20"/>
        <n v="144"/>
        <n v="87"/>
        <n v="81"/>
        <n v="176"/>
        <n v="116"/>
        <n v="225"/>
        <n v="82"/>
        <n v="220"/>
        <n v="175"/>
        <n v="145"/>
        <n v="115"/>
        <n v="38"/>
        <n v="185"/>
        <n v="41"/>
        <n v="76"/>
        <n v="190"/>
        <n v="33"/>
        <n v="152"/>
      </sharedItems>
    </cacheField>
    <cacheField name="Satisfaction Rating" numFmtId="0">
      <sharedItems containsSemiMixedTypes="0" containsString="0" containsNumber="1" minValue="0" maxValue="5" count="43">
        <n v="4.9"/>
        <n v="2.9"/>
        <n v="4.7"/>
        <n v="2.8"/>
        <n v="4.8"/>
        <n v="4.4"/>
        <n v="3.6"/>
        <n v="3.4"/>
        <n v="3.5"/>
        <n v="4"/>
        <n v="3.9"/>
        <n v="3.8"/>
        <n v="4.3"/>
        <n v="5"/>
        <n v="4.5"/>
        <n v="2.1"/>
        <n v="3.3"/>
        <n v="4.1"/>
        <n v="4.2"/>
        <n v="4.6"/>
        <n v="3.7"/>
        <n v="2.4"/>
        <n v="3.1"/>
        <n v="3.2"/>
        <n v="2.3"/>
        <n v="2.5"/>
        <n v="2"/>
        <n v="2.6"/>
        <n v="0"/>
        <n v="1.9"/>
        <n v="2.2"/>
        <n v="1.1"/>
        <n v="1.8"/>
        <n v="1"/>
        <n v="2.7"/>
        <n v="3"/>
        <n v="0.7"/>
        <n v="1.6"/>
        <n v="1.5"/>
        <n v="1.2"/>
        <n v="1.3"/>
        <n v="0.9"/>
        <n v="1.7"/>
      </sharedItems>
    </cacheField>
    <cacheField name="FY" numFmtId="0">
      <sharedItems containsSemiMixedTypes="0" containsString="0" containsNumber="1" containsInteger="1" minValue="2023" maxValue="2024" count="2">
        <n v="2023"/>
        <n v="2024"/>
      </sharedItems>
    </cacheField>
    <cacheField name="Day of week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uration Bucket" numFmtId="0">
      <sharedItems count="5">
        <s v="1 to 2 hours"/>
        <s v="More than 2 hours"/>
        <s v="30 to 60 mins"/>
        <s v="10 to 30 mins"/>
        <s v="Under 10 mins"/>
      </sharedItems>
    </cacheField>
    <cacheField name="Rating rounded" numFmtId="0">
      <sharedItems containsSemiMixedTypes="0" containsString="0" containsNumber="1" containsInteger="1" minValue="0" maxValue="5" count="6">
        <n v="5"/>
        <n v="3"/>
        <n v="4"/>
        <n v="2"/>
        <n v="0"/>
        <n v="1"/>
      </sharedItems>
    </cacheField>
    <cacheField name="5* Calls" numFmtId="0">
      <sharedItems containsSemiMixedTypes="0" containsString="0" containsNumber="1" containsInteger="1" minValue="307" maxValue="307" count="1">
        <n v="307"/>
      </sharedItems>
    </cacheField>
    <cacheField name="Date of Call2" numFmtId="0" databaseField="0">
      <fieldGroup base="7">
        <discretePr count="330">
          <x v="0"/>
          <x v="1"/>
          <x v="2"/>
          <x v="3"/>
          <x v="2"/>
          <x v="4"/>
          <x v="5"/>
          <x v="6"/>
          <x v="7"/>
          <x v="8"/>
          <x v="9"/>
          <x v="10"/>
          <x v="2"/>
          <x v="2"/>
          <x v="11"/>
          <x v="2"/>
          <x v="2"/>
          <x v="12"/>
          <x v="2"/>
          <x v="13"/>
          <x v="14"/>
          <x v="2"/>
          <x v="15"/>
          <x v="16"/>
          <x v="2"/>
          <x v="2"/>
          <x v="2"/>
          <x v="17"/>
          <x v="18"/>
          <x v="19"/>
          <x v="20"/>
          <x v="21"/>
          <x v="22"/>
          <x v="18"/>
          <x v="23"/>
          <x v="18"/>
          <x v="24"/>
          <x v="18"/>
          <x v="18"/>
          <x v="25"/>
          <x v="18"/>
          <x v="18"/>
          <x v="18"/>
          <x v="26"/>
          <x v="27"/>
          <x v="28"/>
          <x v="29"/>
          <x v="18"/>
          <x v="30"/>
          <x v="31"/>
          <x v="18"/>
          <x v="32"/>
          <x v="33"/>
          <x v="18"/>
          <x v="34"/>
          <x v="34"/>
          <x v="34"/>
          <x v="34"/>
          <x v="34"/>
          <x v="35"/>
          <x v="34"/>
          <x v="36"/>
          <x v="34"/>
          <x v="37"/>
          <x v="34"/>
          <x v="34"/>
          <x v="34"/>
          <x v="34"/>
          <x v="34"/>
          <x v="38"/>
          <x v="39"/>
          <x v="34"/>
          <x v="40"/>
          <x v="34"/>
          <x v="34"/>
          <x v="34"/>
          <x v="41"/>
          <x v="34"/>
          <x v="34"/>
          <x v="42"/>
          <x v="34"/>
          <x v="34"/>
          <x v="34"/>
          <x v="43"/>
          <x v="44"/>
          <x v="45"/>
          <x v="45"/>
          <x v="46"/>
          <x v="45"/>
          <x v="45"/>
          <x v="45"/>
          <x v="45"/>
          <x v="47"/>
          <x v="48"/>
          <x v="49"/>
          <x v="45"/>
          <x v="50"/>
          <x v="51"/>
          <x v="45"/>
          <x v="45"/>
          <x v="45"/>
          <x v="52"/>
          <x v="45"/>
          <x v="53"/>
          <x v="45"/>
          <x v="54"/>
          <x v="45"/>
          <x v="45"/>
          <x v="45"/>
          <x v="55"/>
          <x v="56"/>
          <x v="57"/>
          <x v="45"/>
          <x v="58"/>
          <x v="59"/>
          <x v="59"/>
          <x v="59"/>
          <x v="59"/>
          <x v="60"/>
          <x v="61"/>
          <x v="59"/>
          <x v="62"/>
          <x v="63"/>
          <x v="64"/>
          <x v="59"/>
          <x v="65"/>
          <x v="66"/>
          <x v="67"/>
          <x v="68"/>
          <x v="59"/>
          <x v="59"/>
          <x v="59"/>
          <x v="59"/>
          <x v="69"/>
          <x v="59"/>
          <x v="59"/>
          <x v="70"/>
          <x v="71"/>
          <x v="59"/>
          <x v="72"/>
          <x v="59"/>
          <x v="59"/>
          <x v="73"/>
          <x v="73"/>
          <x v="73"/>
          <x v="74"/>
          <x v="75"/>
          <x v="73"/>
          <x v="76"/>
          <x v="73"/>
          <x v="77"/>
          <x v="78"/>
          <x v="73"/>
          <x v="79"/>
          <x v="80"/>
          <x v="73"/>
          <x v="81"/>
          <x v="73"/>
          <x v="73"/>
          <x v="73"/>
          <x v="82"/>
          <x v="73"/>
          <x v="73"/>
          <x v="83"/>
          <x v="73"/>
          <x v="73"/>
          <x v="84"/>
          <x v="85"/>
          <x v="86"/>
          <x v="87"/>
          <x v="88"/>
          <x v="89"/>
          <x v="90"/>
          <x v="91"/>
          <x v="92"/>
          <x v="93"/>
          <x v="94"/>
          <x v="90"/>
          <x v="90"/>
          <x v="95"/>
          <x v="90"/>
          <x v="96"/>
          <x v="97"/>
          <x v="98"/>
          <x v="99"/>
          <x v="100"/>
          <x v="101"/>
          <x v="90"/>
          <x v="102"/>
          <x v="103"/>
          <x v="104"/>
          <x v="105"/>
          <x v="90"/>
          <x v="90"/>
          <x v="106"/>
          <x v="107"/>
          <x v="90"/>
          <x v="108"/>
          <x v="109"/>
          <x v="110"/>
          <x v="111"/>
          <x v="112"/>
          <x v="109"/>
          <x v="113"/>
          <x v="109"/>
          <x v="109"/>
          <x v="114"/>
          <x v="115"/>
          <x v="116"/>
          <x v="117"/>
          <x v="118"/>
          <x v="109"/>
          <x v="119"/>
          <x v="120"/>
          <x v="121"/>
          <x v="122"/>
          <x v="109"/>
          <x v="109"/>
          <x v="109"/>
          <x v="123"/>
          <x v="124"/>
          <x v="125"/>
          <x v="126"/>
          <x v="127"/>
          <x v="128"/>
          <x v="125"/>
          <x v="125"/>
          <x v="125"/>
          <x v="125"/>
          <x v="125"/>
          <x v="125"/>
          <x v="125"/>
          <x v="129"/>
          <x v="130"/>
          <x v="131"/>
          <x v="132"/>
          <x v="125"/>
          <x v="133"/>
          <x v="134"/>
          <x v="135"/>
          <x v="136"/>
          <x v="125"/>
          <x v="137"/>
          <x v="138"/>
          <x v="139"/>
          <x v="140"/>
          <x v="141"/>
          <x v="125"/>
          <x v="142"/>
          <x v="142"/>
          <x v="143"/>
          <x v="142"/>
          <x v="144"/>
          <x v="142"/>
          <x v="142"/>
          <x v="142"/>
          <x v="142"/>
          <x v="142"/>
          <x v="142"/>
          <x v="145"/>
          <x v="146"/>
          <x v="142"/>
          <x v="142"/>
          <x v="142"/>
          <x v="142"/>
          <x v="142"/>
          <x v="142"/>
          <x v="147"/>
          <x v="148"/>
          <x v="142"/>
          <x v="149"/>
          <x v="142"/>
          <x v="150"/>
          <x v="151"/>
          <x v="152"/>
          <x v="142"/>
          <x v="153"/>
          <x v="142"/>
          <x v="142"/>
          <x v="154"/>
          <x v="155"/>
          <x v="156"/>
          <x v="157"/>
          <x v="158"/>
          <x v="156"/>
          <x v="156"/>
          <x v="159"/>
          <x v="160"/>
          <x v="161"/>
          <x v="162"/>
          <x v="156"/>
          <x v="156"/>
          <x v="156"/>
          <x v="156"/>
          <x v="156"/>
          <x v="156"/>
          <x v="163"/>
          <x v="156"/>
          <x v="156"/>
          <x v="156"/>
          <x v="156"/>
          <x v="164"/>
          <x v="165"/>
          <x v="166"/>
          <x v="156"/>
          <x v="167"/>
          <x v="168"/>
          <x v="169"/>
          <x v="168"/>
          <x v="170"/>
          <x v="171"/>
          <x v="172"/>
          <x v="168"/>
          <x v="173"/>
          <x v="168"/>
          <x v="174"/>
          <x v="168"/>
          <x v="175"/>
          <x v="176"/>
          <x v="168"/>
          <x v="177"/>
          <x v="178"/>
          <x v="168"/>
          <x v="179"/>
          <x v="180"/>
          <x v="181"/>
          <x v="168"/>
          <x v="168"/>
          <x v="182"/>
          <x v="183"/>
        </discretePr>
        <groupItems count="184">
          <d v="2023-01-01T00:00:00"/>
          <d v="2023-01-02T00:00:00"/>
          <s v="GROUP1"/>
          <d v="2023-01-04T00:00:00"/>
          <d v="2023-01-06T00:00:00"/>
          <d v="2023-01-07T00:00:00"/>
          <d v="2023-01-08T00:00:00"/>
          <d v="2023-01-09T00:00:00"/>
          <d v="2023-01-10T00:00:00"/>
          <d v="2023-01-12T00:00:00"/>
          <d v="2023-01-14T00:00:00"/>
          <d v="2023-01-17T00:00:00"/>
          <d v="2023-01-20T00:00:00"/>
          <d v="2023-01-22T00:00:00"/>
          <d v="2023-01-23T00:00:00"/>
          <d v="2023-01-25T00:00:00"/>
          <d v="2023-01-26T00:00:00"/>
          <d v="2023-01-31T00:00:00"/>
          <s v="GROUP2"/>
          <d v="2023-02-02T00:00:00"/>
          <d v="2023-02-04T00:00:00"/>
          <d v="2023-02-05T00:00:00"/>
          <d v="2023-02-07T00:00:00"/>
          <d v="2023-02-09T00:00:00"/>
          <d v="2023-02-11T00:00:00"/>
          <d v="2023-02-14T00:00:00"/>
          <d v="2023-02-18T00:00:00"/>
          <d v="2023-02-19T00:00:00"/>
          <d v="2023-02-20T00:00:00"/>
          <d v="2023-02-21T00:00:00"/>
          <d v="2023-02-23T00:00:00"/>
          <d v="2023-02-24T00:00:00"/>
          <d v="2023-02-26T00:00:00"/>
          <d v="2023-02-27T00:00:00"/>
          <s v="GROUP3"/>
          <d v="2023-03-06T00:00:00"/>
          <d v="2023-03-08T00:00:00"/>
          <d v="2023-03-10T00:00:00"/>
          <d v="2023-03-16T00:00:00"/>
          <d v="2023-03-17T00:00:00"/>
          <d v="2023-03-19T00:00:00"/>
          <d v="2023-03-23T00:00:00"/>
          <d v="2023-03-26T00:00:00"/>
          <d v="2023-03-31T00:00:00"/>
          <d v="2023-04-01T00:00:00"/>
          <s v="GROUP4"/>
          <d v="2023-04-04T00:00:00"/>
          <d v="2023-04-09T00:00:00"/>
          <d v="2023-04-10T00:00:00"/>
          <d v="2023-04-11T00:00:00"/>
          <d v="2023-04-13T00:00:00"/>
          <d v="2023-04-14T00:00:00"/>
          <d v="2023-04-18T00:00:00"/>
          <d v="2023-04-20T00:00:00"/>
          <d v="2023-04-22T00:00:00"/>
          <d v="2023-04-26T00:00:00"/>
          <d v="2023-04-27T00:00:00"/>
          <d v="2023-04-28T00:00:00"/>
          <d v="2023-04-30T00:00:00"/>
          <s v="GROUP5"/>
          <d v="2023-05-06T00:00:00"/>
          <d v="2023-05-07T00:00:00"/>
          <d v="2023-05-09T00:00:00"/>
          <d v="2023-05-10T00:00:00"/>
          <d v="2023-05-11T00:00:00"/>
          <d v="2023-05-14T00:00:00"/>
          <d v="2023-05-15T00:00:00"/>
          <d v="2023-05-16T00:00:00"/>
          <d v="2023-05-17T00:00:00"/>
          <d v="2023-05-23T00:00:00"/>
          <d v="2023-05-26T00:00:00"/>
          <d v="2023-05-27T00:00:00"/>
          <d v="2023-05-29T00:00:00"/>
          <s v="GROUP6"/>
          <d v="2023-06-05T00:00:00"/>
          <d v="2023-06-06T00:00:00"/>
          <d v="2023-06-08T00:00:00"/>
          <d v="2023-06-10T00:00:00"/>
          <d v="2023-06-11T00:00:00"/>
          <d v="2023-06-13T00:00:00"/>
          <d v="2023-06-14T00:00:00"/>
          <d v="2023-06-16T00:00:00"/>
          <d v="2023-06-20T00:00:00"/>
          <d v="2023-06-24T00:00:00"/>
          <d v="2023-06-27T00:00:00"/>
          <d v="2023-06-28T00:00:00"/>
          <d v="2023-06-29T00:00:00"/>
          <d v="2023-06-30T00:00:00"/>
          <d v="2023-07-01T00:00:00"/>
          <d v="2023-07-02T00:00:00"/>
          <s v="GROUP7"/>
          <d v="2023-07-05T00:00:00"/>
          <d v="2023-07-06T00:00:00"/>
          <d v="2023-07-07T00:00:00"/>
          <d v="2023-07-08T00:00:00"/>
          <d v="2023-07-11T00:00:00"/>
          <d v="2023-07-13T00:00:00"/>
          <d v="2023-07-14T00:00:00"/>
          <d v="2023-07-15T00:00:00"/>
          <d v="2023-07-16T00:00:00"/>
          <d v="2023-07-17T00:00:00"/>
          <d v="2023-07-18T00:00:00"/>
          <d v="2023-07-20T00:00:00"/>
          <d v="2023-07-21T00:00:00"/>
          <d v="2023-07-22T00:00:00"/>
          <d v="2023-07-25T00:00:00"/>
          <d v="2023-07-28T00:00:00"/>
          <d v="2023-07-29T00:00:00"/>
          <d v="2023-08-02T00:00:00"/>
          <s v="GROUP8"/>
          <d v="2023-08-04T00:00:00"/>
          <d v="2023-08-05T00:00:00"/>
          <d v="2023-08-06T00:00:00"/>
          <d v="2023-08-08T00:00:00"/>
          <d v="2023-08-13T00:00:00"/>
          <d v="2023-08-16T00:00:00"/>
          <d v="2023-08-17T00:00:00"/>
          <d v="2023-08-18T00:00:00"/>
          <d v="2023-08-19T00:00:00"/>
          <d v="2023-08-21T00:00:00"/>
          <d v="2023-08-23T00:00:00"/>
          <d v="2023-08-24T00:00:00"/>
          <d v="2023-08-25T00:00:00"/>
          <d v="2023-08-30T00:00:00"/>
          <d v="2023-08-31T00:00:00"/>
          <s v="GROUP9"/>
          <d v="2023-09-03T00:00:00"/>
          <d v="2023-09-04T00:00:00"/>
          <d v="2023-09-05T00:00:00"/>
          <d v="2023-09-14T00:00:00"/>
          <d v="2023-09-15T00:00:00"/>
          <d v="2023-09-16T00:00:00"/>
          <d v="2023-09-17T00:00:00"/>
          <d v="2023-09-20T00:00:00"/>
          <d v="2023-09-21T00:00:00"/>
          <d v="2023-09-22T00:00:00"/>
          <d v="2023-09-23T00:00:00"/>
          <d v="2023-09-25T00:00:00"/>
          <d v="2023-09-26T00:00:00"/>
          <d v="2023-09-27T00:00:00"/>
          <d v="2023-09-28T00:00:00"/>
          <d v="2023-09-29T00:00:00"/>
          <s v="GROUP10"/>
          <d v="2023-10-03T00:00:00"/>
          <d v="2023-10-05T00:00:00"/>
          <d v="2023-10-12T00:00:00"/>
          <d v="2023-10-13T00:00:00"/>
          <d v="2023-10-20T00:00:00"/>
          <d v="2023-10-21T00:00:00"/>
          <d v="2023-10-23T00:00:00"/>
          <d v="2023-10-25T00:00:00"/>
          <d v="2023-10-26T00:00:00"/>
          <d v="2023-10-27T00:00:00"/>
          <d v="2023-10-29T00:00:00"/>
          <d v="2023-11-01T00:00:00"/>
          <d v="2023-11-02T00:00:00"/>
          <s v="GROUP11"/>
          <d v="2023-11-04T00:00:00"/>
          <d v="2023-11-06T00:00:00"/>
          <d v="2023-11-09T00:00:00"/>
          <d v="2023-11-10T00:00:00"/>
          <d v="2023-11-11T00:00:00"/>
          <d v="2023-11-12T00:00:00"/>
          <d v="2023-11-19T00:00:00"/>
          <d v="2023-11-26T00:00:00"/>
          <d v="2023-11-27T00:00:00"/>
          <d v="2023-11-28T00:00:00"/>
          <d v="2023-11-30T00:00:00"/>
          <s v="GROUP12"/>
          <d v="2023-12-02T00:00:00"/>
          <d v="2023-12-04T00:00:00"/>
          <d v="2023-12-05T00:00:00"/>
          <d v="2023-12-07T00:00:00"/>
          <d v="2023-12-09T00:00:00"/>
          <d v="2023-12-14T00:00:00"/>
          <d v="2023-12-16T00:00:00"/>
          <d v="2023-12-17T00:00:00"/>
          <d v="2023-12-20T00:00:00"/>
          <d v="2023-12-21T00:00:00"/>
          <d v="2023-12-25T00:00:00"/>
          <d v="2023-12-26T00:00:00"/>
          <d v="2023-12-27T00:00:00"/>
          <d v="2023-12-30T00:00:00"/>
          <d v="2023-12-31T00:00:00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0"/>
    <x v="1"/>
    <x v="0"/>
    <x v="0"/>
    <x v="1"/>
    <x v="1"/>
    <x v="0"/>
    <x v="0"/>
    <x v="0"/>
    <x v="1"/>
    <x v="0"/>
  </r>
  <r>
    <x v="2"/>
    <x v="2"/>
    <x v="0"/>
    <x v="2"/>
    <x v="1"/>
    <x v="2"/>
    <x v="1"/>
    <x v="0"/>
    <x v="2"/>
    <x v="2"/>
    <x v="0"/>
    <x v="0"/>
    <x v="0"/>
    <x v="0"/>
    <x v="0"/>
  </r>
  <r>
    <x v="3"/>
    <x v="3"/>
    <x v="1"/>
    <x v="3"/>
    <x v="1"/>
    <x v="1"/>
    <x v="1"/>
    <x v="0"/>
    <x v="3"/>
    <x v="1"/>
    <x v="0"/>
    <x v="0"/>
    <x v="0"/>
    <x v="1"/>
    <x v="0"/>
  </r>
  <r>
    <x v="4"/>
    <x v="4"/>
    <x v="1"/>
    <x v="4"/>
    <x v="0"/>
    <x v="3"/>
    <x v="2"/>
    <x v="1"/>
    <x v="4"/>
    <x v="3"/>
    <x v="0"/>
    <x v="1"/>
    <x v="1"/>
    <x v="1"/>
    <x v="0"/>
  </r>
  <r>
    <x v="5"/>
    <x v="4"/>
    <x v="1"/>
    <x v="4"/>
    <x v="0"/>
    <x v="4"/>
    <x v="1"/>
    <x v="2"/>
    <x v="1"/>
    <x v="4"/>
    <x v="0"/>
    <x v="2"/>
    <x v="2"/>
    <x v="0"/>
    <x v="0"/>
  </r>
  <r>
    <x v="6"/>
    <x v="5"/>
    <x v="1"/>
    <x v="5"/>
    <x v="2"/>
    <x v="5"/>
    <x v="0"/>
    <x v="2"/>
    <x v="5"/>
    <x v="2"/>
    <x v="0"/>
    <x v="2"/>
    <x v="0"/>
    <x v="0"/>
    <x v="0"/>
  </r>
  <r>
    <x v="7"/>
    <x v="0"/>
    <x v="0"/>
    <x v="0"/>
    <x v="0"/>
    <x v="6"/>
    <x v="3"/>
    <x v="2"/>
    <x v="6"/>
    <x v="5"/>
    <x v="0"/>
    <x v="2"/>
    <x v="0"/>
    <x v="2"/>
    <x v="0"/>
  </r>
  <r>
    <x v="8"/>
    <x v="2"/>
    <x v="0"/>
    <x v="2"/>
    <x v="1"/>
    <x v="7"/>
    <x v="1"/>
    <x v="2"/>
    <x v="1"/>
    <x v="6"/>
    <x v="0"/>
    <x v="2"/>
    <x v="2"/>
    <x v="2"/>
    <x v="0"/>
  </r>
  <r>
    <x v="9"/>
    <x v="6"/>
    <x v="1"/>
    <x v="4"/>
    <x v="2"/>
    <x v="8"/>
    <x v="4"/>
    <x v="2"/>
    <x v="7"/>
    <x v="1"/>
    <x v="0"/>
    <x v="2"/>
    <x v="2"/>
    <x v="1"/>
    <x v="0"/>
  </r>
  <r>
    <x v="10"/>
    <x v="4"/>
    <x v="1"/>
    <x v="4"/>
    <x v="0"/>
    <x v="9"/>
    <x v="1"/>
    <x v="2"/>
    <x v="8"/>
    <x v="0"/>
    <x v="0"/>
    <x v="2"/>
    <x v="0"/>
    <x v="0"/>
    <x v="0"/>
  </r>
  <r>
    <x v="11"/>
    <x v="7"/>
    <x v="1"/>
    <x v="2"/>
    <x v="2"/>
    <x v="10"/>
    <x v="0"/>
    <x v="2"/>
    <x v="9"/>
    <x v="7"/>
    <x v="0"/>
    <x v="2"/>
    <x v="1"/>
    <x v="1"/>
    <x v="0"/>
  </r>
  <r>
    <x v="12"/>
    <x v="8"/>
    <x v="0"/>
    <x v="6"/>
    <x v="2"/>
    <x v="11"/>
    <x v="1"/>
    <x v="3"/>
    <x v="10"/>
    <x v="8"/>
    <x v="0"/>
    <x v="3"/>
    <x v="0"/>
    <x v="2"/>
    <x v="0"/>
  </r>
  <r>
    <x v="13"/>
    <x v="6"/>
    <x v="1"/>
    <x v="4"/>
    <x v="2"/>
    <x v="12"/>
    <x v="1"/>
    <x v="3"/>
    <x v="11"/>
    <x v="9"/>
    <x v="0"/>
    <x v="3"/>
    <x v="1"/>
    <x v="2"/>
    <x v="0"/>
  </r>
  <r>
    <x v="14"/>
    <x v="7"/>
    <x v="1"/>
    <x v="2"/>
    <x v="2"/>
    <x v="13"/>
    <x v="2"/>
    <x v="3"/>
    <x v="12"/>
    <x v="0"/>
    <x v="0"/>
    <x v="3"/>
    <x v="2"/>
    <x v="0"/>
    <x v="0"/>
  </r>
  <r>
    <x v="15"/>
    <x v="6"/>
    <x v="1"/>
    <x v="4"/>
    <x v="2"/>
    <x v="14"/>
    <x v="0"/>
    <x v="4"/>
    <x v="13"/>
    <x v="4"/>
    <x v="0"/>
    <x v="4"/>
    <x v="1"/>
    <x v="0"/>
    <x v="0"/>
  </r>
  <r>
    <x v="16"/>
    <x v="6"/>
    <x v="1"/>
    <x v="4"/>
    <x v="2"/>
    <x v="15"/>
    <x v="2"/>
    <x v="4"/>
    <x v="14"/>
    <x v="10"/>
    <x v="0"/>
    <x v="4"/>
    <x v="0"/>
    <x v="2"/>
    <x v="0"/>
  </r>
  <r>
    <x v="17"/>
    <x v="9"/>
    <x v="1"/>
    <x v="7"/>
    <x v="1"/>
    <x v="16"/>
    <x v="4"/>
    <x v="4"/>
    <x v="15"/>
    <x v="11"/>
    <x v="0"/>
    <x v="4"/>
    <x v="3"/>
    <x v="2"/>
    <x v="0"/>
  </r>
  <r>
    <x v="18"/>
    <x v="5"/>
    <x v="1"/>
    <x v="5"/>
    <x v="2"/>
    <x v="17"/>
    <x v="1"/>
    <x v="4"/>
    <x v="16"/>
    <x v="12"/>
    <x v="0"/>
    <x v="4"/>
    <x v="2"/>
    <x v="2"/>
    <x v="0"/>
  </r>
  <r>
    <x v="19"/>
    <x v="10"/>
    <x v="0"/>
    <x v="8"/>
    <x v="1"/>
    <x v="13"/>
    <x v="0"/>
    <x v="5"/>
    <x v="17"/>
    <x v="5"/>
    <x v="0"/>
    <x v="5"/>
    <x v="2"/>
    <x v="2"/>
    <x v="0"/>
  </r>
  <r>
    <x v="20"/>
    <x v="1"/>
    <x v="0"/>
    <x v="1"/>
    <x v="0"/>
    <x v="3"/>
    <x v="0"/>
    <x v="5"/>
    <x v="18"/>
    <x v="13"/>
    <x v="0"/>
    <x v="5"/>
    <x v="1"/>
    <x v="0"/>
    <x v="0"/>
  </r>
  <r>
    <x v="21"/>
    <x v="1"/>
    <x v="0"/>
    <x v="1"/>
    <x v="0"/>
    <x v="18"/>
    <x v="3"/>
    <x v="6"/>
    <x v="19"/>
    <x v="0"/>
    <x v="0"/>
    <x v="6"/>
    <x v="2"/>
    <x v="0"/>
    <x v="0"/>
  </r>
  <r>
    <x v="22"/>
    <x v="0"/>
    <x v="0"/>
    <x v="0"/>
    <x v="0"/>
    <x v="19"/>
    <x v="3"/>
    <x v="7"/>
    <x v="20"/>
    <x v="14"/>
    <x v="0"/>
    <x v="0"/>
    <x v="0"/>
    <x v="0"/>
    <x v="0"/>
  </r>
  <r>
    <x v="23"/>
    <x v="11"/>
    <x v="1"/>
    <x v="9"/>
    <x v="2"/>
    <x v="20"/>
    <x v="1"/>
    <x v="7"/>
    <x v="21"/>
    <x v="15"/>
    <x v="0"/>
    <x v="0"/>
    <x v="2"/>
    <x v="3"/>
    <x v="0"/>
  </r>
  <r>
    <x v="24"/>
    <x v="6"/>
    <x v="1"/>
    <x v="4"/>
    <x v="2"/>
    <x v="17"/>
    <x v="2"/>
    <x v="7"/>
    <x v="22"/>
    <x v="16"/>
    <x v="0"/>
    <x v="0"/>
    <x v="2"/>
    <x v="1"/>
    <x v="0"/>
  </r>
  <r>
    <x v="25"/>
    <x v="12"/>
    <x v="1"/>
    <x v="10"/>
    <x v="0"/>
    <x v="16"/>
    <x v="0"/>
    <x v="8"/>
    <x v="23"/>
    <x v="17"/>
    <x v="0"/>
    <x v="1"/>
    <x v="3"/>
    <x v="2"/>
    <x v="0"/>
  </r>
  <r>
    <x v="26"/>
    <x v="8"/>
    <x v="0"/>
    <x v="6"/>
    <x v="2"/>
    <x v="21"/>
    <x v="0"/>
    <x v="8"/>
    <x v="24"/>
    <x v="18"/>
    <x v="0"/>
    <x v="1"/>
    <x v="0"/>
    <x v="2"/>
    <x v="0"/>
  </r>
  <r>
    <x v="27"/>
    <x v="4"/>
    <x v="1"/>
    <x v="4"/>
    <x v="0"/>
    <x v="22"/>
    <x v="0"/>
    <x v="9"/>
    <x v="25"/>
    <x v="19"/>
    <x v="0"/>
    <x v="2"/>
    <x v="0"/>
    <x v="0"/>
    <x v="0"/>
  </r>
  <r>
    <x v="28"/>
    <x v="9"/>
    <x v="1"/>
    <x v="7"/>
    <x v="1"/>
    <x v="7"/>
    <x v="3"/>
    <x v="9"/>
    <x v="26"/>
    <x v="1"/>
    <x v="0"/>
    <x v="2"/>
    <x v="2"/>
    <x v="1"/>
    <x v="0"/>
  </r>
  <r>
    <x v="29"/>
    <x v="11"/>
    <x v="1"/>
    <x v="9"/>
    <x v="2"/>
    <x v="23"/>
    <x v="2"/>
    <x v="9"/>
    <x v="27"/>
    <x v="4"/>
    <x v="0"/>
    <x v="2"/>
    <x v="1"/>
    <x v="0"/>
    <x v="0"/>
  </r>
  <r>
    <x v="30"/>
    <x v="9"/>
    <x v="1"/>
    <x v="7"/>
    <x v="1"/>
    <x v="24"/>
    <x v="0"/>
    <x v="9"/>
    <x v="21"/>
    <x v="18"/>
    <x v="0"/>
    <x v="2"/>
    <x v="0"/>
    <x v="2"/>
    <x v="0"/>
  </r>
  <r>
    <x v="31"/>
    <x v="4"/>
    <x v="1"/>
    <x v="4"/>
    <x v="0"/>
    <x v="25"/>
    <x v="0"/>
    <x v="10"/>
    <x v="28"/>
    <x v="20"/>
    <x v="0"/>
    <x v="4"/>
    <x v="0"/>
    <x v="2"/>
    <x v="0"/>
  </r>
  <r>
    <x v="32"/>
    <x v="4"/>
    <x v="1"/>
    <x v="4"/>
    <x v="0"/>
    <x v="26"/>
    <x v="2"/>
    <x v="10"/>
    <x v="16"/>
    <x v="13"/>
    <x v="0"/>
    <x v="4"/>
    <x v="3"/>
    <x v="0"/>
    <x v="0"/>
  </r>
  <r>
    <x v="33"/>
    <x v="10"/>
    <x v="0"/>
    <x v="8"/>
    <x v="1"/>
    <x v="27"/>
    <x v="1"/>
    <x v="11"/>
    <x v="7"/>
    <x v="13"/>
    <x v="0"/>
    <x v="6"/>
    <x v="1"/>
    <x v="0"/>
    <x v="0"/>
  </r>
  <r>
    <x v="34"/>
    <x v="13"/>
    <x v="0"/>
    <x v="11"/>
    <x v="1"/>
    <x v="28"/>
    <x v="0"/>
    <x v="12"/>
    <x v="29"/>
    <x v="4"/>
    <x v="0"/>
    <x v="0"/>
    <x v="0"/>
    <x v="0"/>
    <x v="0"/>
  </r>
  <r>
    <x v="35"/>
    <x v="9"/>
    <x v="1"/>
    <x v="7"/>
    <x v="1"/>
    <x v="29"/>
    <x v="4"/>
    <x v="12"/>
    <x v="30"/>
    <x v="21"/>
    <x v="0"/>
    <x v="0"/>
    <x v="0"/>
    <x v="3"/>
    <x v="0"/>
  </r>
  <r>
    <x v="36"/>
    <x v="11"/>
    <x v="1"/>
    <x v="9"/>
    <x v="2"/>
    <x v="30"/>
    <x v="4"/>
    <x v="13"/>
    <x v="31"/>
    <x v="22"/>
    <x v="0"/>
    <x v="1"/>
    <x v="0"/>
    <x v="1"/>
    <x v="0"/>
  </r>
  <r>
    <x v="37"/>
    <x v="1"/>
    <x v="0"/>
    <x v="1"/>
    <x v="0"/>
    <x v="31"/>
    <x v="1"/>
    <x v="13"/>
    <x v="32"/>
    <x v="23"/>
    <x v="0"/>
    <x v="1"/>
    <x v="0"/>
    <x v="1"/>
    <x v="0"/>
  </r>
  <r>
    <x v="38"/>
    <x v="11"/>
    <x v="1"/>
    <x v="9"/>
    <x v="2"/>
    <x v="22"/>
    <x v="3"/>
    <x v="14"/>
    <x v="33"/>
    <x v="21"/>
    <x v="0"/>
    <x v="2"/>
    <x v="0"/>
    <x v="3"/>
    <x v="0"/>
  </r>
  <r>
    <x v="39"/>
    <x v="9"/>
    <x v="1"/>
    <x v="7"/>
    <x v="1"/>
    <x v="32"/>
    <x v="0"/>
    <x v="14"/>
    <x v="10"/>
    <x v="13"/>
    <x v="0"/>
    <x v="2"/>
    <x v="0"/>
    <x v="0"/>
    <x v="0"/>
  </r>
  <r>
    <x v="40"/>
    <x v="1"/>
    <x v="0"/>
    <x v="1"/>
    <x v="0"/>
    <x v="33"/>
    <x v="3"/>
    <x v="14"/>
    <x v="11"/>
    <x v="2"/>
    <x v="0"/>
    <x v="2"/>
    <x v="0"/>
    <x v="0"/>
    <x v="0"/>
  </r>
  <r>
    <x v="41"/>
    <x v="6"/>
    <x v="1"/>
    <x v="4"/>
    <x v="2"/>
    <x v="28"/>
    <x v="1"/>
    <x v="15"/>
    <x v="24"/>
    <x v="2"/>
    <x v="0"/>
    <x v="3"/>
    <x v="0"/>
    <x v="0"/>
    <x v="0"/>
  </r>
  <r>
    <x v="42"/>
    <x v="9"/>
    <x v="1"/>
    <x v="7"/>
    <x v="1"/>
    <x v="34"/>
    <x v="0"/>
    <x v="15"/>
    <x v="34"/>
    <x v="17"/>
    <x v="0"/>
    <x v="3"/>
    <x v="0"/>
    <x v="2"/>
    <x v="0"/>
  </r>
  <r>
    <x v="43"/>
    <x v="7"/>
    <x v="1"/>
    <x v="2"/>
    <x v="2"/>
    <x v="35"/>
    <x v="4"/>
    <x v="15"/>
    <x v="35"/>
    <x v="17"/>
    <x v="0"/>
    <x v="3"/>
    <x v="1"/>
    <x v="2"/>
    <x v="0"/>
  </r>
  <r>
    <x v="44"/>
    <x v="13"/>
    <x v="0"/>
    <x v="11"/>
    <x v="1"/>
    <x v="28"/>
    <x v="2"/>
    <x v="15"/>
    <x v="36"/>
    <x v="6"/>
    <x v="0"/>
    <x v="3"/>
    <x v="0"/>
    <x v="2"/>
    <x v="0"/>
  </r>
  <r>
    <x v="45"/>
    <x v="4"/>
    <x v="1"/>
    <x v="4"/>
    <x v="0"/>
    <x v="36"/>
    <x v="4"/>
    <x v="16"/>
    <x v="37"/>
    <x v="5"/>
    <x v="0"/>
    <x v="4"/>
    <x v="3"/>
    <x v="2"/>
    <x v="0"/>
  </r>
  <r>
    <x v="46"/>
    <x v="3"/>
    <x v="1"/>
    <x v="3"/>
    <x v="1"/>
    <x v="37"/>
    <x v="2"/>
    <x v="16"/>
    <x v="38"/>
    <x v="5"/>
    <x v="0"/>
    <x v="4"/>
    <x v="1"/>
    <x v="2"/>
    <x v="0"/>
  </r>
  <r>
    <x v="47"/>
    <x v="1"/>
    <x v="0"/>
    <x v="1"/>
    <x v="0"/>
    <x v="38"/>
    <x v="0"/>
    <x v="16"/>
    <x v="33"/>
    <x v="9"/>
    <x v="0"/>
    <x v="4"/>
    <x v="0"/>
    <x v="2"/>
    <x v="0"/>
  </r>
  <r>
    <x v="48"/>
    <x v="0"/>
    <x v="0"/>
    <x v="0"/>
    <x v="0"/>
    <x v="31"/>
    <x v="1"/>
    <x v="17"/>
    <x v="39"/>
    <x v="11"/>
    <x v="0"/>
    <x v="5"/>
    <x v="0"/>
    <x v="2"/>
    <x v="0"/>
  </r>
  <r>
    <x v="49"/>
    <x v="12"/>
    <x v="1"/>
    <x v="10"/>
    <x v="0"/>
    <x v="39"/>
    <x v="1"/>
    <x v="17"/>
    <x v="11"/>
    <x v="6"/>
    <x v="0"/>
    <x v="5"/>
    <x v="2"/>
    <x v="2"/>
    <x v="0"/>
  </r>
  <r>
    <x v="50"/>
    <x v="8"/>
    <x v="0"/>
    <x v="6"/>
    <x v="2"/>
    <x v="40"/>
    <x v="2"/>
    <x v="17"/>
    <x v="18"/>
    <x v="12"/>
    <x v="0"/>
    <x v="5"/>
    <x v="1"/>
    <x v="2"/>
    <x v="0"/>
  </r>
  <r>
    <x v="51"/>
    <x v="7"/>
    <x v="1"/>
    <x v="2"/>
    <x v="2"/>
    <x v="41"/>
    <x v="3"/>
    <x v="18"/>
    <x v="1"/>
    <x v="11"/>
    <x v="0"/>
    <x v="6"/>
    <x v="0"/>
    <x v="2"/>
    <x v="0"/>
  </r>
  <r>
    <x v="52"/>
    <x v="7"/>
    <x v="1"/>
    <x v="2"/>
    <x v="2"/>
    <x v="42"/>
    <x v="4"/>
    <x v="18"/>
    <x v="21"/>
    <x v="14"/>
    <x v="0"/>
    <x v="6"/>
    <x v="0"/>
    <x v="0"/>
    <x v="0"/>
  </r>
  <r>
    <x v="53"/>
    <x v="14"/>
    <x v="1"/>
    <x v="12"/>
    <x v="2"/>
    <x v="43"/>
    <x v="2"/>
    <x v="18"/>
    <x v="8"/>
    <x v="14"/>
    <x v="0"/>
    <x v="6"/>
    <x v="1"/>
    <x v="0"/>
    <x v="0"/>
  </r>
  <r>
    <x v="54"/>
    <x v="7"/>
    <x v="1"/>
    <x v="2"/>
    <x v="2"/>
    <x v="44"/>
    <x v="0"/>
    <x v="19"/>
    <x v="40"/>
    <x v="19"/>
    <x v="0"/>
    <x v="0"/>
    <x v="2"/>
    <x v="0"/>
    <x v="0"/>
  </r>
  <r>
    <x v="55"/>
    <x v="12"/>
    <x v="1"/>
    <x v="10"/>
    <x v="0"/>
    <x v="45"/>
    <x v="2"/>
    <x v="19"/>
    <x v="15"/>
    <x v="14"/>
    <x v="0"/>
    <x v="0"/>
    <x v="0"/>
    <x v="0"/>
    <x v="0"/>
  </r>
  <r>
    <x v="56"/>
    <x v="14"/>
    <x v="1"/>
    <x v="12"/>
    <x v="2"/>
    <x v="20"/>
    <x v="1"/>
    <x v="20"/>
    <x v="1"/>
    <x v="16"/>
    <x v="0"/>
    <x v="1"/>
    <x v="2"/>
    <x v="1"/>
    <x v="0"/>
  </r>
  <r>
    <x v="57"/>
    <x v="11"/>
    <x v="1"/>
    <x v="9"/>
    <x v="2"/>
    <x v="46"/>
    <x v="1"/>
    <x v="20"/>
    <x v="41"/>
    <x v="24"/>
    <x v="0"/>
    <x v="1"/>
    <x v="0"/>
    <x v="3"/>
    <x v="0"/>
  </r>
  <r>
    <x v="58"/>
    <x v="4"/>
    <x v="1"/>
    <x v="4"/>
    <x v="0"/>
    <x v="47"/>
    <x v="0"/>
    <x v="20"/>
    <x v="42"/>
    <x v="12"/>
    <x v="0"/>
    <x v="1"/>
    <x v="0"/>
    <x v="2"/>
    <x v="0"/>
  </r>
  <r>
    <x v="59"/>
    <x v="14"/>
    <x v="1"/>
    <x v="12"/>
    <x v="2"/>
    <x v="48"/>
    <x v="1"/>
    <x v="21"/>
    <x v="43"/>
    <x v="19"/>
    <x v="0"/>
    <x v="2"/>
    <x v="0"/>
    <x v="0"/>
    <x v="0"/>
  </r>
  <r>
    <x v="60"/>
    <x v="7"/>
    <x v="1"/>
    <x v="2"/>
    <x v="2"/>
    <x v="33"/>
    <x v="2"/>
    <x v="21"/>
    <x v="2"/>
    <x v="9"/>
    <x v="0"/>
    <x v="2"/>
    <x v="0"/>
    <x v="2"/>
    <x v="0"/>
  </r>
  <r>
    <x v="61"/>
    <x v="6"/>
    <x v="1"/>
    <x v="4"/>
    <x v="2"/>
    <x v="49"/>
    <x v="3"/>
    <x v="21"/>
    <x v="41"/>
    <x v="25"/>
    <x v="0"/>
    <x v="2"/>
    <x v="1"/>
    <x v="1"/>
    <x v="0"/>
  </r>
  <r>
    <x v="62"/>
    <x v="11"/>
    <x v="1"/>
    <x v="9"/>
    <x v="2"/>
    <x v="50"/>
    <x v="4"/>
    <x v="21"/>
    <x v="11"/>
    <x v="13"/>
    <x v="0"/>
    <x v="2"/>
    <x v="0"/>
    <x v="0"/>
    <x v="0"/>
  </r>
  <r>
    <x v="63"/>
    <x v="7"/>
    <x v="1"/>
    <x v="2"/>
    <x v="2"/>
    <x v="51"/>
    <x v="0"/>
    <x v="22"/>
    <x v="44"/>
    <x v="11"/>
    <x v="0"/>
    <x v="3"/>
    <x v="0"/>
    <x v="2"/>
    <x v="0"/>
  </r>
  <r>
    <x v="64"/>
    <x v="13"/>
    <x v="0"/>
    <x v="11"/>
    <x v="1"/>
    <x v="52"/>
    <x v="3"/>
    <x v="22"/>
    <x v="7"/>
    <x v="5"/>
    <x v="0"/>
    <x v="3"/>
    <x v="1"/>
    <x v="2"/>
    <x v="0"/>
  </r>
  <r>
    <x v="65"/>
    <x v="1"/>
    <x v="0"/>
    <x v="1"/>
    <x v="0"/>
    <x v="53"/>
    <x v="1"/>
    <x v="23"/>
    <x v="45"/>
    <x v="11"/>
    <x v="0"/>
    <x v="4"/>
    <x v="0"/>
    <x v="2"/>
    <x v="0"/>
  </r>
  <r>
    <x v="66"/>
    <x v="11"/>
    <x v="1"/>
    <x v="9"/>
    <x v="2"/>
    <x v="54"/>
    <x v="0"/>
    <x v="23"/>
    <x v="5"/>
    <x v="26"/>
    <x v="0"/>
    <x v="4"/>
    <x v="2"/>
    <x v="3"/>
    <x v="0"/>
  </r>
  <r>
    <x v="67"/>
    <x v="6"/>
    <x v="1"/>
    <x v="4"/>
    <x v="2"/>
    <x v="55"/>
    <x v="3"/>
    <x v="24"/>
    <x v="46"/>
    <x v="17"/>
    <x v="0"/>
    <x v="5"/>
    <x v="1"/>
    <x v="2"/>
    <x v="0"/>
  </r>
  <r>
    <x v="68"/>
    <x v="2"/>
    <x v="0"/>
    <x v="2"/>
    <x v="1"/>
    <x v="22"/>
    <x v="2"/>
    <x v="24"/>
    <x v="47"/>
    <x v="27"/>
    <x v="0"/>
    <x v="5"/>
    <x v="0"/>
    <x v="1"/>
    <x v="0"/>
  </r>
  <r>
    <x v="69"/>
    <x v="10"/>
    <x v="0"/>
    <x v="8"/>
    <x v="1"/>
    <x v="56"/>
    <x v="4"/>
    <x v="24"/>
    <x v="48"/>
    <x v="28"/>
    <x v="0"/>
    <x v="5"/>
    <x v="1"/>
    <x v="4"/>
    <x v="0"/>
  </r>
  <r>
    <x v="70"/>
    <x v="10"/>
    <x v="0"/>
    <x v="8"/>
    <x v="1"/>
    <x v="57"/>
    <x v="4"/>
    <x v="25"/>
    <x v="42"/>
    <x v="10"/>
    <x v="0"/>
    <x v="6"/>
    <x v="1"/>
    <x v="2"/>
    <x v="0"/>
  </r>
  <r>
    <x v="71"/>
    <x v="13"/>
    <x v="0"/>
    <x v="11"/>
    <x v="1"/>
    <x v="58"/>
    <x v="2"/>
    <x v="25"/>
    <x v="24"/>
    <x v="4"/>
    <x v="0"/>
    <x v="6"/>
    <x v="0"/>
    <x v="0"/>
    <x v="0"/>
  </r>
  <r>
    <x v="72"/>
    <x v="7"/>
    <x v="1"/>
    <x v="2"/>
    <x v="2"/>
    <x v="19"/>
    <x v="2"/>
    <x v="25"/>
    <x v="35"/>
    <x v="27"/>
    <x v="0"/>
    <x v="6"/>
    <x v="0"/>
    <x v="1"/>
    <x v="0"/>
  </r>
  <r>
    <x v="73"/>
    <x v="14"/>
    <x v="1"/>
    <x v="12"/>
    <x v="2"/>
    <x v="59"/>
    <x v="4"/>
    <x v="26"/>
    <x v="28"/>
    <x v="27"/>
    <x v="0"/>
    <x v="1"/>
    <x v="0"/>
    <x v="1"/>
    <x v="0"/>
  </r>
  <r>
    <x v="74"/>
    <x v="2"/>
    <x v="0"/>
    <x v="2"/>
    <x v="1"/>
    <x v="60"/>
    <x v="2"/>
    <x v="26"/>
    <x v="49"/>
    <x v="6"/>
    <x v="0"/>
    <x v="1"/>
    <x v="2"/>
    <x v="2"/>
    <x v="0"/>
  </r>
  <r>
    <x v="75"/>
    <x v="4"/>
    <x v="1"/>
    <x v="4"/>
    <x v="0"/>
    <x v="53"/>
    <x v="4"/>
    <x v="26"/>
    <x v="10"/>
    <x v="16"/>
    <x v="0"/>
    <x v="1"/>
    <x v="0"/>
    <x v="1"/>
    <x v="0"/>
  </r>
  <r>
    <x v="76"/>
    <x v="6"/>
    <x v="1"/>
    <x v="4"/>
    <x v="2"/>
    <x v="61"/>
    <x v="1"/>
    <x v="26"/>
    <x v="38"/>
    <x v="29"/>
    <x v="0"/>
    <x v="1"/>
    <x v="1"/>
    <x v="3"/>
    <x v="0"/>
  </r>
  <r>
    <x v="77"/>
    <x v="1"/>
    <x v="0"/>
    <x v="1"/>
    <x v="0"/>
    <x v="62"/>
    <x v="4"/>
    <x v="26"/>
    <x v="50"/>
    <x v="0"/>
    <x v="0"/>
    <x v="1"/>
    <x v="2"/>
    <x v="0"/>
    <x v="0"/>
  </r>
  <r>
    <x v="78"/>
    <x v="4"/>
    <x v="1"/>
    <x v="4"/>
    <x v="0"/>
    <x v="63"/>
    <x v="0"/>
    <x v="27"/>
    <x v="51"/>
    <x v="6"/>
    <x v="0"/>
    <x v="2"/>
    <x v="0"/>
    <x v="2"/>
    <x v="0"/>
  </r>
  <r>
    <x v="79"/>
    <x v="9"/>
    <x v="1"/>
    <x v="7"/>
    <x v="1"/>
    <x v="42"/>
    <x v="4"/>
    <x v="28"/>
    <x v="6"/>
    <x v="14"/>
    <x v="0"/>
    <x v="3"/>
    <x v="0"/>
    <x v="0"/>
    <x v="0"/>
  </r>
  <r>
    <x v="80"/>
    <x v="6"/>
    <x v="1"/>
    <x v="4"/>
    <x v="2"/>
    <x v="64"/>
    <x v="3"/>
    <x v="28"/>
    <x v="52"/>
    <x v="20"/>
    <x v="0"/>
    <x v="3"/>
    <x v="2"/>
    <x v="2"/>
    <x v="0"/>
  </r>
  <r>
    <x v="81"/>
    <x v="4"/>
    <x v="1"/>
    <x v="4"/>
    <x v="0"/>
    <x v="65"/>
    <x v="4"/>
    <x v="28"/>
    <x v="33"/>
    <x v="4"/>
    <x v="0"/>
    <x v="3"/>
    <x v="1"/>
    <x v="0"/>
    <x v="0"/>
  </r>
  <r>
    <x v="82"/>
    <x v="14"/>
    <x v="1"/>
    <x v="12"/>
    <x v="2"/>
    <x v="66"/>
    <x v="0"/>
    <x v="28"/>
    <x v="7"/>
    <x v="16"/>
    <x v="0"/>
    <x v="3"/>
    <x v="0"/>
    <x v="1"/>
    <x v="0"/>
  </r>
  <r>
    <x v="83"/>
    <x v="1"/>
    <x v="0"/>
    <x v="1"/>
    <x v="0"/>
    <x v="67"/>
    <x v="0"/>
    <x v="28"/>
    <x v="53"/>
    <x v="22"/>
    <x v="0"/>
    <x v="3"/>
    <x v="0"/>
    <x v="1"/>
    <x v="0"/>
  </r>
  <r>
    <x v="84"/>
    <x v="4"/>
    <x v="1"/>
    <x v="4"/>
    <x v="0"/>
    <x v="65"/>
    <x v="3"/>
    <x v="28"/>
    <x v="44"/>
    <x v="17"/>
    <x v="0"/>
    <x v="3"/>
    <x v="1"/>
    <x v="2"/>
    <x v="0"/>
  </r>
  <r>
    <x v="85"/>
    <x v="3"/>
    <x v="1"/>
    <x v="3"/>
    <x v="1"/>
    <x v="15"/>
    <x v="0"/>
    <x v="29"/>
    <x v="54"/>
    <x v="0"/>
    <x v="0"/>
    <x v="4"/>
    <x v="0"/>
    <x v="0"/>
    <x v="0"/>
  </r>
  <r>
    <x v="86"/>
    <x v="11"/>
    <x v="1"/>
    <x v="9"/>
    <x v="2"/>
    <x v="41"/>
    <x v="0"/>
    <x v="29"/>
    <x v="1"/>
    <x v="9"/>
    <x v="0"/>
    <x v="4"/>
    <x v="0"/>
    <x v="2"/>
    <x v="0"/>
  </r>
  <r>
    <x v="87"/>
    <x v="1"/>
    <x v="0"/>
    <x v="1"/>
    <x v="0"/>
    <x v="68"/>
    <x v="1"/>
    <x v="29"/>
    <x v="52"/>
    <x v="15"/>
    <x v="0"/>
    <x v="4"/>
    <x v="2"/>
    <x v="3"/>
    <x v="0"/>
  </r>
  <r>
    <x v="88"/>
    <x v="14"/>
    <x v="1"/>
    <x v="12"/>
    <x v="2"/>
    <x v="69"/>
    <x v="2"/>
    <x v="29"/>
    <x v="34"/>
    <x v="14"/>
    <x v="0"/>
    <x v="4"/>
    <x v="0"/>
    <x v="0"/>
    <x v="0"/>
  </r>
  <r>
    <x v="89"/>
    <x v="3"/>
    <x v="1"/>
    <x v="3"/>
    <x v="1"/>
    <x v="70"/>
    <x v="2"/>
    <x v="30"/>
    <x v="55"/>
    <x v="0"/>
    <x v="0"/>
    <x v="6"/>
    <x v="1"/>
    <x v="0"/>
    <x v="0"/>
  </r>
  <r>
    <x v="90"/>
    <x v="11"/>
    <x v="1"/>
    <x v="9"/>
    <x v="2"/>
    <x v="5"/>
    <x v="0"/>
    <x v="30"/>
    <x v="14"/>
    <x v="17"/>
    <x v="0"/>
    <x v="6"/>
    <x v="0"/>
    <x v="2"/>
    <x v="0"/>
  </r>
  <r>
    <x v="91"/>
    <x v="13"/>
    <x v="0"/>
    <x v="11"/>
    <x v="1"/>
    <x v="71"/>
    <x v="2"/>
    <x v="31"/>
    <x v="38"/>
    <x v="14"/>
    <x v="0"/>
    <x v="0"/>
    <x v="2"/>
    <x v="0"/>
    <x v="0"/>
  </r>
  <r>
    <x v="92"/>
    <x v="5"/>
    <x v="1"/>
    <x v="5"/>
    <x v="2"/>
    <x v="10"/>
    <x v="3"/>
    <x v="32"/>
    <x v="56"/>
    <x v="4"/>
    <x v="0"/>
    <x v="2"/>
    <x v="1"/>
    <x v="0"/>
    <x v="0"/>
  </r>
  <r>
    <x v="93"/>
    <x v="12"/>
    <x v="1"/>
    <x v="10"/>
    <x v="0"/>
    <x v="72"/>
    <x v="1"/>
    <x v="32"/>
    <x v="26"/>
    <x v="19"/>
    <x v="0"/>
    <x v="2"/>
    <x v="1"/>
    <x v="0"/>
    <x v="0"/>
  </r>
  <r>
    <x v="94"/>
    <x v="2"/>
    <x v="0"/>
    <x v="2"/>
    <x v="1"/>
    <x v="35"/>
    <x v="1"/>
    <x v="32"/>
    <x v="57"/>
    <x v="19"/>
    <x v="0"/>
    <x v="2"/>
    <x v="1"/>
    <x v="0"/>
    <x v="0"/>
  </r>
  <r>
    <x v="95"/>
    <x v="10"/>
    <x v="0"/>
    <x v="8"/>
    <x v="1"/>
    <x v="73"/>
    <x v="0"/>
    <x v="33"/>
    <x v="8"/>
    <x v="12"/>
    <x v="0"/>
    <x v="3"/>
    <x v="2"/>
    <x v="2"/>
    <x v="0"/>
  </r>
  <r>
    <x v="96"/>
    <x v="12"/>
    <x v="1"/>
    <x v="10"/>
    <x v="0"/>
    <x v="48"/>
    <x v="1"/>
    <x v="33"/>
    <x v="58"/>
    <x v="13"/>
    <x v="0"/>
    <x v="3"/>
    <x v="0"/>
    <x v="0"/>
    <x v="0"/>
  </r>
  <r>
    <x v="97"/>
    <x v="0"/>
    <x v="0"/>
    <x v="0"/>
    <x v="0"/>
    <x v="74"/>
    <x v="4"/>
    <x v="33"/>
    <x v="31"/>
    <x v="9"/>
    <x v="0"/>
    <x v="3"/>
    <x v="0"/>
    <x v="2"/>
    <x v="0"/>
  </r>
  <r>
    <x v="98"/>
    <x v="13"/>
    <x v="0"/>
    <x v="11"/>
    <x v="1"/>
    <x v="64"/>
    <x v="0"/>
    <x v="34"/>
    <x v="59"/>
    <x v="19"/>
    <x v="0"/>
    <x v="4"/>
    <x v="2"/>
    <x v="0"/>
    <x v="0"/>
  </r>
  <r>
    <x v="99"/>
    <x v="0"/>
    <x v="0"/>
    <x v="0"/>
    <x v="0"/>
    <x v="35"/>
    <x v="4"/>
    <x v="35"/>
    <x v="54"/>
    <x v="14"/>
    <x v="0"/>
    <x v="5"/>
    <x v="1"/>
    <x v="0"/>
    <x v="0"/>
  </r>
  <r>
    <x v="100"/>
    <x v="7"/>
    <x v="1"/>
    <x v="2"/>
    <x v="2"/>
    <x v="48"/>
    <x v="0"/>
    <x v="35"/>
    <x v="2"/>
    <x v="19"/>
    <x v="0"/>
    <x v="5"/>
    <x v="0"/>
    <x v="0"/>
    <x v="0"/>
  </r>
  <r>
    <x v="101"/>
    <x v="12"/>
    <x v="1"/>
    <x v="10"/>
    <x v="0"/>
    <x v="37"/>
    <x v="2"/>
    <x v="35"/>
    <x v="60"/>
    <x v="27"/>
    <x v="0"/>
    <x v="5"/>
    <x v="1"/>
    <x v="1"/>
    <x v="0"/>
  </r>
  <r>
    <x v="102"/>
    <x v="9"/>
    <x v="1"/>
    <x v="7"/>
    <x v="1"/>
    <x v="19"/>
    <x v="3"/>
    <x v="36"/>
    <x v="13"/>
    <x v="12"/>
    <x v="0"/>
    <x v="6"/>
    <x v="0"/>
    <x v="2"/>
    <x v="0"/>
  </r>
  <r>
    <x v="103"/>
    <x v="3"/>
    <x v="1"/>
    <x v="3"/>
    <x v="1"/>
    <x v="75"/>
    <x v="2"/>
    <x v="37"/>
    <x v="57"/>
    <x v="10"/>
    <x v="0"/>
    <x v="0"/>
    <x v="0"/>
    <x v="2"/>
    <x v="0"/>
  </r>
  <r>
    <x v="104"/>
    <x v="2"/>
    <x v="0"/>
    <x v="2"/>
    <x v="1"/>
    <x v="67"/>
    <x v="1"/>
    <x v="37"/>
    <x v="50"/>
    <x v="13"/>
    <x v="0"/>
    <x v="0"/>
    <x v="0"/>
    <x v="0"/>
    <x v="0"/>
  </r>
  <r>
    <x v="105"/>
    <x v="8"/>
    <x v="0"/>
    <x v="6"/>
    <x v="2"/>
    <x v="16"/>
    <x v="4"/>
    <x v="37"/>
    <x v="61"/>
    <x v="8"/>
    <x v="0"/>
    <x v="0"/>
    <x v="3"/>
    <x v="2"/>
    <x v="0"/>
  </r>
  <r>
    <x v="106"/>
    <x v="1"/>
    <x v="0"/>
    <x v="1"/>
    <x v="0"/>
    <x v="76"/>
    <x v="3"/>
    <x v="38"/>
    <x v="20"/>
    <x v="2"/>
    <x v="0"/>
    <x v="1"/>
    <x v="1"/>
    <x v="0"/>
    <x v="0"/>
  </r>
  <r>
    <x v="107"/>
    <x v="11"/>
    <x v="1"/>
    <x v="9"/>
    <x v="2"/>
    <x v="65"/>
    <x v="2"/>
    <x v="38"/>
    <x v="52"/>
    <x v="1"/>
    <x v="0"/>
    <x v="1"/>
    <x v="1"/>
    <x v="1"/>
    <x v="0"/>
  </r>
  <r>
    <x v="108"/>
    <x v="1"/>
    <x v="0"/>
    <x v="1"/>
    <x v="0"/>
    <x v="77"/>
    <x v="4"/>
    <x v="38"/>
    <x v="39"/>
    <x v="7"/>
    <x v="0"/>
    <x v="1"/>
    <x v="0"/>
    <x v="1"/>
    <x v="0"/>
  </r>
  <r>
    <x v="109"/>
    <x v="2"/>
    <x v="0"/>
    <x v="2"/>
    <x v="1"/>
    <x v="24"/>
    <x v="3"/>
    <x v="39"/>
    <x v="34"/>
    <x v="23"/>
    <x v="0"/>
    <x v="2"/>
    <x v="0"/>
    <x v="1"/>
    <x v="0"/>
  </r>
  <r>
    <x v="110"/>
    <x v="1"/>
    <x v="0"/>
    <x v="1"/>
    <x v="0"/>
    <x v="48"/>
    <x v="1"/>
    <x v="40"/>
    <x v="31"/>
    <x v="4"/>
    <x v="0"/>
    <x v="3"/>
    <x v="0"/>
    <x v="0"/>
    <x v="0"/>
  </r>
  <r>
    <x v="111"/>
    <x v="10"/>
    <x v="0"/>
    <x v="8"/>
    <x v="1"/>
    <x v="78"/>
    <x v="4"/>
    <x v="40"/>
    <x v="7"/>
    <x v="6"/>
    <x v="0"/>
    <x v="3"/>
    <x v="3"/>
    <x v="2"/>
    <x v="0"/>
  </r>
  <r>
    <x v="112"/>
    <x v="4"/>
    <x v="1"/>
    <x v="4"/>
    <x v="0"/>
    <x v="79"/>
    <x v="2"/>
    <x v="40"/>
    <x v="15"/>
    <x v="0"/>
    <x v="0"/>
    <x v="3"/>
    <x v="3"/>
    <x v="0"/>
    <x v="0"/>
  </r>
  <r>
    <x v="113"/>
    <x v="6"/>
    <x v="1"/>
    <x v="4"/>
    <x v="2"/>
    <x v="18"/>
    <x v="3"/>
    <x v="40"/>
    <x v="62"/>
    <x v="4"/>
    <x v="0"/>
    <x v="3"/>
    <x v="2"/>
    <x v="0"/>
    <x v="0"/>
  </r>
  <r>
    <x v="114"/>
    <x v="7"/>
    <x v="1"/>
    <x v="2"/>
    <x v="2"/>
    <x v="71"/>
    <x v="2"/>
    <x v="40"/>
    <x v="50"/>
    <x v="6"/>
    <x v="0"/>
    <x v="3"/>
    <x v="2"/>
    <x v="2"/>
    <x v="0"/>
  </r>
  <r>
    <x v="115"/>
    <x v="9"/>
    <x v="1"/>
    <x v="7"/>
    <x v="1"/>
    <x v="80"/>
    <x v="4"/>
    <x v="41"/>
    <x v="63"/>
    <x v="10"/>
    <x v="0"/>
    <x v="4"/>
    <x v="3"/>
    <x v="2"/>
    <x v="0"/>
  </r>
  <r>
    <x v="116"/>
    <x v="9"/>
    <x v="1"/>
    <x v="7"/>
    <x v="1"/>
    <x v="81"/>
    <x v="4"/>
    <x v="41"/>
    <x v="64"/>
    <x v="29"/>
    <x v="0"/>
    <x v="4"/>
    <x v="2"/>
    <x v="3"/>
    <x v="0"/>
  </r>
  <r>
    <x v="117"/>
    <x v="8"/>
    <x v="0"/>
    <x v="6"/>
    <x v="2"/>
    <x v="0"/>
    <x v="0"/>
    <x v="41"/>
    <x v="21"/>
    <x v="6"/>
    <x v="0"/>
    <x v="4"/>
    <x v="0"/>
    <x v="2"/>
    <x v="0"/>
  </r>
  <r>
    <x v="118"/>
    <x v="0"/>
    <x v="0"/>
    <x v="0"/>
    <x v="0"/>
    <x v="15"/>
    <x v="1"/>
    <x v="41"/>
    <x v="38"/>
    <x v="17"/>
    <x v="0"/>
    <x v="4"/>
    <x v="0"/>
    <x v="2"/>
    <x v="0"/>
  </r>
  <r>
    <x v="119"/>
    <x v="1"/>
    <x v="0"/>
    <x v="1"/>
    <x v="0"/>
    <x v="29"/>
    <x v="4"/>
    <x v="42"/>
    <x v="65"/>
    <x v="18"/>
    <x v="0"/>
    <x v="5"/>
    <x v="0"/>
    <x v="2"/>
    <x v="0"/>
  </r>
  <r>
    <x v="120"/>
    <x v="2"/>
    <x v="0"/>
    <x v="2"/>
    <x v="1"/>
    <x v="82"/>
    <x v="0"/>
    <x v="42"/>
    <x v="66"/>
    <x v="12"/>
    <x v="0"/>
    <x v="5"/>
    <x v="2"/>
    <x v="2"/>
    <x v="0"/>
  </r>
  <r>
    <x v="121"/>
    <x v="5"/>
    <x v="1"/>
    <x v="5"/>
    <x v="2"/>
    <x v="23"/>
    <x v="0"/>
    <x v="43"/>
    <x v="67"/>
    <x v="30"/>
    <x v="0"/>
    <x v="6"/>
    <x v="1"/>
    <x v="3"/>
    <x v="0"/>
  </r>
  <r>
    <x v="122"/>
    <x v="0"/>
    <x v="0"/>
    <x v="0"/>
    <x v="0"/>
    <x v="2"/>
    <x v="1"/>
    <x v="43"/>
    <x v="3"/>
    <x v="16"/>
    <x v="0"/>
    <x v="6"/>
    <x v="0"/>
    <x v="1"/>
    <x v="0"/>
  </r>
  <r>
    <x v="123"/>
    <x v="6"/>
    <x v="1"/>
    <x v="4"/>
    <x v="2"/>
    <x v="48"/>
    <x v="1"/>
    <x v="43"/>
    <x v="68"/>
    <x v="4"/>
    <x v="0"/>
    <x v="6"/>
    <x v="0"/>
    <x v="0"/>
    <x v="0"/>
  </r>
  <r>
    <x v="124"/>
    <x v="11"/>
    <x v="1"/>
    <x v="9"/>
    <x v="2"/>
    <x v="83"/>
    <x v="0"/>
    <x v="44"/>
    <x v="24"/>
    <x v="9"/>
    <x v="0"/>
    <x v="0"/>
    <x v="0"/>
    <x v="2"/>
    <x v="0"/>
  </r>
  <r>
    <x v="125"/>
    <x v="4"/>
    <x v="1"/>
    <x v="4"/>
    <x v="0"/>
    <x v="59"/>
    <x v="2"/>
    <x v="44"/>
    <x v="48"/>
    <x v="31"/>
    <x v="0"/>
    <x v="0"/>
    <x v="0"/>
    <x v="5"/>
    <x v="0"/>
  </r>
  <r>
    <x v="126"/>
    <x v="1"/>
    <x v="0"/>
    <x v="1"/>
    <x v="0"/>
    <x v="23"/>
    <x v="2"/>
    <x v="45"/>
    <x v="24"/>
    <x v="10"/>
    <x v="0"/>
    <x v="1"/>
    <x v="1"/>
    <x v="2"/>
    <x v="0"/>
  </r>
  <r>
    <x v="127"/>
    <x v="11"/>
    <x v="1"/>
    <x v="9"/>
    <x v="2"/>
    <x v="59"/>
    <x v="0"/>
    <x v="46"/>
    <x v="31"/>
    <x v="32"/>
    <x v="0"/>
    <x v="2"/>
    <x v="0"/>
    <x v="3"/>
    <x v="0"/>
  </r>
  <r>
    <x v="128"/>
    <x v="5"/>
    <x v="1"/>
    <x v="5"/>
    <x v="2"/>
    <x v="49"/>
    <x v="3"/>
    <x v="46"/>
    <x v="69"/>
    <x v="33"/>
    <x v="0"/>
    <x v="2"/>
    <x v="1"/>
    <x v="5"/>
    <x v="0"/>
  </r>
  <r>
    <x v="129"/>
    <x v="1"/>
    <x v="0"/>
    <x v="1"/>
    <x v="0"/>
    <x v="34"/>
    <x v="0"/>
    <x v="46"/>
    <x v="44"/>
    <x v="12"/>
    <x v="0"/>
    <x v="2"/>
    <x v="0"/>
    <x v="2"/>
    <x v="0"/>
  </r>
  <r>
    <x v="130"/>
    <x v="13"/>
    <x v="0"/>
    <x v="11"/>
    <x v="1"/>
    <x v="84"/>
    <x v="4"/>
    <x v="47"/>
    <x v="21"/>
    <x v="7"/>
    <x v="0"/>
    <x v="3"/>
    <x v="0"/>
    <x v="1"/>
    <x v="0"/>
  </r>
  <r>
    <x v="131"/>
    <x v="6"/>
    <x v="1"/>
    <x v="4"/>
    <x v="2"/>
    <x v="85"/>
    <x v="2"/>
    <x v="47"/>
    <x v="3"/>
    <x v="7"/>
    <x v="0"/>
    <x v="3"/>
    <x v="1"/>
    <x v="1"/>
    <x v="0"/>
  </r>
  <r>
    <x v="132"/>
    <x v="11"/>
    <x v="1"/>
    <x v="9"/>
    <x v="2"/>
    <x v="86"/>
    <x v="3"/>
    <x v="48"/>
    <x v="69"/>
    <x v="17"/>
    <x v="0"/>
    <x v="4"/>
    <x v="0"/>
    <x v="2"/>
    <x v="0"/>
  </r>
  <r>
    <x v="133"/>
    <x v="14"/>
    <x v="1"/>
    <x v="12"/>
    <x v="2"/>
    <x v="87"/>
    <x v="1"/>
    <x v="49"/>
    <x v="56"/>
    <x v="4"/>
    <x v="0"/>
    <x v="5"/>
    <x v="1"/>
    <x v="0"/>
    <x v="0"/>
  </r>
  <r>
    <x v="134"/>
    <x v="3"/>
    <x v="1"/>
    <x v="3"/>
    <x v="1"/>
    <x v="88"/>
    <x v="0"/>
    <x v="49"/>
    <x v="70"/>
    <x v="26"/>
    <x v="0"/>
    <x v="5"/>
    <x v="1"/>
    <x v="3"/>
    <x v="0"/>
  </r>
  <r>
    <x v="135"/>
    <x v="11"/>
    <x v="1"/>
    <x v="9"/>
    <x v="2"/>
    <x v="84"/>
    <x v="4"/>
    <x v="50"/>
    <x v="69"/>
    <x v="19"/>
    <x v="0"/>
    <x v="6"/>
    <x v="0"/>
    <x v="0"/>
    <x v="0"/>
  </r>
  <r>
    <x v="136"/>
    <x v="9"/>
    <x v="1"/>
    <x v="7"/>
    <x v="1"/>
    <x v="63"/>
    <x v="0"/>
    <x v="50"/>
    <x v="65"/>
    <x v="27"/>
    <x v="0"/>
    <x v="6"/>
    <x v="0"/>
    <x v="1"/>
    <x v="0"/>
  </r>
  <r>
    <x v="137"/>
    <x v="13"/>
    <x v="0"/>
    <x v="11"/>
    <x v="1"/>
    <x v="89"/>
    <x v="3"/>
    <x v="51"/>
    <x v="9"/>
    <x v="0"/>
    <x v="0"/>
    <x v="0"/>
    <x v="1"/>
    <x v="0"/>
    <x v="0"/>
  </r>
  <r>
    <x v="138"/>
    <x v="12"/>
    <x v="1"/>
    <x v="10"/>
    <x v="0"/>
    <x v="9"/>
    <x v="2"/>
    <x v="51"/>
    <x v="20"/>
    <x v="34"/>
    <x v="0"/>
    <x v="0"/>
    <x v="0"/>
    <x v="1"/>
    <x v="0"/>
  </r>
  <r>
    <x v="139"/>
    <x v="10"/>
    <x v="0"/>
    <x v="8"/>
    <x v="1"/>
    <x v="90"/>
    <x v="0"/>
    <x v="51"/>
    <x v="59"/>
    <x v="17"/>
    <x v="0"/>
    <x v="0"/>
    <x v="0"/>
    <x v="2"/>
    <x v="0"/>
  </r>
  <r>
    <x v="140"/>
    <x v="1"/>
    <x v="0"/>
    <x v="1"/>
    <x v="0"/>
    <x v="91"/>
    <x v="2"/>
    <x v="52"/>
    <x v="71"/>
    <x v="5"/>
    <x v="0"/>
    <x v="1"/>
    <x v="4"/>
    <x v="2"/>
    <x v="0"/>
  </r>
  <r>
    <x v="141"/>
    <x v="10"/>
    <x v="0"/>
    <x v="8"/>
    <x v="1"/>
    <x v="92"/>
    <x v="0"/>
    <x v="52"/>
    <x v="67"/>
    <x v="4"/>
    <x v="0"/>
    <x v="1"/>
    <x v="1"/>
    <x v="0"/>
    <x v="0"/>
  </r>
  <r>
    <x v="142"/>
    <x v="9"/>
    <x v="1"/>
    <x v="7"/>
    <x v="1"/>
    <x v="60"/>
    <x v="3"/>
    <x v="53"/>
    <x v="22"/>
    <x v="35"/>
    <x v="0"/>
    <x v="2"/>
    <x v="2"/>
    <x v="1"/>
    <x v="0"/>
  </r>
  <r>
    <x v="143"/>
    <x v="9"/>
    <x v="1"/>
    <x v="7"/>
    <x v="1"/>
    <x v="51"/>
    <x v="4"/>
    <x v="53"/>
    <x v="72"/>
    <x v="22"/>
    <x v="0"/>
    <x v="2"/>
    <x v="0"/>
    <x v="1"/>
    <x v="0"/>
  </r>
  <r>
    <x v="144"/>
    <x v="2"/>
    <x v="0"/>
    <x v="2"/>
    <x v="1"/>
    <x v="93"/>
    <x v="2"/>
    <x v="53"/>
    <x v="24"/>
    <x v="27"/>
    <x v="0"/>
    <x v="2"/>
    <x v="2"/>
    <x v="1"/>
    <x v="0"/>
  </r>
  <r>
    <x v="145"/>
    <x v="4"/>
    <x v="1"/>
    <x v="4"/>
    <x v="0"/>
    <x v="23"/>
    <x v="4"/>
    <x v="54"/>
    <x v="32"/>
    <x v="19"/>
    <x v="0"/>
    <x v="3"/>
    <x v="1"/>
    <x v="0"/>
    <x v="0"/>
  </r>
  <r>
    <x v="146"/>
    <x v="4"/>
    <x v="1"/>
    <x v="4"/>
    <x v="0"/>
    <x v="31"/>
    <x v="3"/>
    <x v="54"/>
    <x v="16"/>
    <x v="20"/>
    <x v="0"/>
    <x v="3"/>
    <x v="0"/>
    <x v="2"/>
    <x v="0"/>
  </r>
  <r>
    <x v="147"/>
    <x v="10"/>
    <x v="0"/>
    <x v="8"/>
    <x v="1"/>
    <x v="94"/>
    <x v="1"/>
    <x v="54"/>
    <x v="73"/>
    <x v="11"/>
    <x v="0"/>
    <x v="3"/>
    <x v="1"/>
    <x v="2"/>
    <x v="0"/>
  </r>
  <r>
    <x v="148"/>
    <x v="8"/>
    <x v="0"/>
    <x v="6"/>
    <x v="2"/>
    <x v="34"/>
    <x v="4"/>
    <x v="54"/>
    <x v="41"/>
    <x v="6"/>
    <x v="0"/>
    <x v="3"/>
    <x v="0"/>
    <x v="2"/>
    <x v="0"/>
  </r>
  <r>
    <x v="149"/>
    <x v="11"/>
    <x v="1"/>
    <x v="9"/>
    <x v="2"/>
    <x v="72"/>
    <x v="2"/>
    <x v="54"/>
    <x v="46"/>
    <x v="5"/>
    <x v="0"/>
    <x v="3"/>
    <x v="1"/>
    <x v="2"/>
    <x v="0"/>
  </r>
  <r>
    <x v="150"/>
    <x v="8"/>
    <x v="0"/>
    <x v="6"/>
    <x v="2"/>
    <x v="65"/>
    <x v="3"/>
    <x v="54"/>
    <x v="74"/>
    <x v="23"/>
    <x v="0"/>
    <x v="3"/>
    <x v="1"/>
    <x v="1"/>
    <x v="0"/>
  </r>
  <r>
    <x v="151"/>
    <x v="8"/>
    <x v="0"/>
    <x v="6"/>
    <x v="2"/>
    <x v="62"/>
    <x v="3"/>
    <x v="54"/>
    <x v="51"/>
    <x v="2"/>
    <x v="0"/>
    <x v="3"/>
    <x v="2"/>
    <x v="0"/>
    <x v="0"/>
  </r>
  <r>
    <x v="152"/>
    <x v="6"/>
    <x v="1"/>
    <x v="4"/>
    <x v="2"/>
    <x v="59"/>
    <x v="3"/>
    <x v="55"/>
    <x v="50"/>
    <x v="4"/>
    <x v="0"/>
    <x v="4"/>
    <x v="0"/>
    <x v="0"/>
    <x v="0"/>
  </r>
  <r>
    <x v="153"/>
    <x v="3"/>
    <x v="1"/>
    <x v="3"/>
    <x v="1"/>
    <x v="6"/>
    <x v="4"/>
    <x v="55"/>
    <x v="75"/>
    <x v="34"/>
    <x v="0"/>
    <x v="4"/>
    <x v="0"/>
    <x v="1"/>
    <x v="0"/>
  </r>
  <r>
    <x v="154"/>
    <x v="8"/>
    <x v="0"/>
    <x v="6"/>
    <x v="2"/>
    <x v="11"/>
    <x v="2"/>
    <x v="55"/>
    <x v="62"/>
    <x v="11"/>
    <x v="0"/>
    <x v="4"/>
    <x v="0"/>
    <x v="2"/>
    <x v="0"/>
  </r>
  <r>
    <x v="155"/>
    <x v="10"/>
    <x v="0"/>
    <x v="8"/>
    <x v="1"/>
    <x v="32"/>
    <x v="1"/>
    <x v="55"/>
    <x v="10"/>
    <x v="12"/>
    <x v="0"/>
    <x v="4"/>
    <x v="0"/>
    <x v="2"/>
    <x v="0"/>
  </r>
  <r>
    <x v="156"/>
    <x v="1"/>
    <x v="0"/>
    <x v="1"/>
    <x v="0"/>
    <x v="74"/>
    <x v="1"/>
    <x v="55"/>
    <x v="10"/>
    <x v="13"/>
    <x v="0"/>
    <x v="4"/>
    <x v="0"/>
    <x v="0"/>
    <x v="0"/>
  </r>
  <r>
    <x v="157"/>
    <x v="3"/>
    <x v="1"/>
    <x v="3"/>
    <x v="1"/>
    <x v="95"/>
    <x v="1"/>
    <x v="55"/>
    <x v="15"/>
    <x v="4"/>
    <x v="0"/>
    <x v="4"/>
    <x v="0"/>
    <x v="0"/>
    <x v="0"/>
  </r>
  <r>
    <x v="158"/>
    <x v="9"/>
    <x v="1"/>
    <x v="7"/>
    <x v="1"/>
    <x v="96"/>
    <x v="0"/>
    <x v="56"/>
    <x v="63"/>
    <x v="0"/>
    <x v="0"/>
    <x v="5"/>
    <x v="0"/>
    <x v="0"/>
    <x v="0"/>
  </r>
  <r>
    <x v="159"/>
    <x v="2"/>
    <x v="0"/>
    <x v="2"/>
    <x v="1"/>
    <x v="90"/>
    <x v="0"/>
    <x v="56"/>
    <x v="60"/>
    <x v="17"/>
    <x v="0"/>
    <x v="5"/>
    <x v="0"/>
    <x v="2"/>
    <x v="0"/>
  </r>
  <r>
    <x v="160"/>
    <x v="1"/>
    <x v="0"/>
    <x v="1"/>
    <x v="0"/>
    <x v="97"/>
    <x v="2"/>
    <x v="56"/>
    <x v="26"/>
    <x v="5"/>
    <x v="0"/>
    <x v="5"/>
    <x v="0"/>
    <x v="2"/>
    <x v="0"/>
  </r>
  <r>
    <x v="161"/>
    <x v="1"/>
    <x v="0"/>
    <x v="1"/>
    <x v="0"/>
    <x v="98"/>
    <x v="1"/>
    <x v="56"/>
    <x v="76"/>
    <x v="7"/>
    <x v="0"/>
    <x v="5"/>
    <x v="3"/>
    <x v="1"/>
    <x v="0"/>
  </r>
  <r>
    <x v="162"/>
    <x v="12"/>
    <x v="1"/>
    <x v="10"/>
    <x v="0"/>
    <x v="99"/>
    <x v="0"/>
    <x v="56"/>
    <x v="2"/>
    <x v="9"/>
    <x v="0"/>
    <x v="5"/>
    <x v="0"/>
    <x v="2"/>
    <x v="0"/>
  </r>
  <r>
    <x v="163"/>
    <x v="12"/>
    <x v="1"/>
    <x v="10"/>
    <x v="0"/>
    <x v="37"/>
    <x v="1"/>
    <x v="56"/>
    <x v="77"/>
    <x v="21"/>
    <x v="0"/>
    <x v="5"/>
    <x v="1"/>
    <x v="3"/>
    <x v="0"/>
  </r>
  <r>
    <x v="164"/>
    <x v="0"/>
    <x v="0"/>
    <x v="0"/>
    <x v="0"/>
    <x v="100"/>
    <x v="4"/>
    <x v="56"/>
    <x v="78"/>
    <x v="15"/>
    <x v="0"/>
    <x v="5"/>
    <x v="3"/>
    <x v="3"/>
    <x v="0"/>
  </r>
  <r>
    <x v="165"/>
    <x v="13"/>
    <x v="0"/>
    <x v="11"/>
    <x v="1"/>
    <x v="96"/>
    <x v="2"/>
    <x v="56"/>
    <x v="12"/>
    <x v="35"/>
    <x v="0"/>
    <x v="5"/>
    <x v="0"/>
    <x v="1"/>
    <x v="0"/>
  </r>
  <r>
    <x v="166"/>
    <x v="2"/>
    <x v="0"/>
    <x v="2"/>
    <x v="1"/>
    <x v="16"/>
    <x v="4"/>
    <x v="56"/>
    <x v="59"/>
    <x v="23"/>
    <x v="0"/>
    <x v="5"/>
    <x v="3"/>
    <x v="1"/>
    <x v="0"/>
  </r>
  <r>
    <x v="167"/>
    <x v="4"/>
    <x v="1"/>
    <x v="4"/>
    <x v="0"/>
    <x v="12"/>
    <x v="1"/>
    <x v="57"/>
    <x v="66"/>
    <x v="7"/>
    <x v="0"/>
    <x v="6"/>
    <x v="1"/>
    <x v="1"/>
    <x v="0"/>
  </r>
  <r>
    <x v="168"/>
    <x v="10"/>
    <x v="0"/>
    <x v="8"/>
    <x v="1"/>
    <x v="25"/>
    <x v="2"/>
    <x v="57"/>
    <x v="76"/>
    <x v="34"/>
    <x v="0"/>
    <x v="6"/>
    <x v="0"/>
    <x v="1"/>
    <x v="0"/>
  </r>
  <r>
    <x v="169"/>
    <x v="1"/>
    <x v="0"/>
    <x v="1"/>
    <x v="0"/>
    <x v="58"/>
    <x v="4"/>
    <x v="57"/>
    <x v="0"/>
    <x v="13"/>
    <x v="0"/>
    <x v="6"/>
    <x v="0"/>
    <x v="0"/>
    <x v="0"/>
  </r>
  <r>
    <x v="170"/>
    <x v="2"/>
    <x v="0"/>
    <x v="2"/>
    <x v="1"/>
    <x v="29"/>
    <x v="3"/>
    <x v="57"/>
    <x v="45"/>
    <x v="7"/>
    <x v="0"/>
    <x v="6"/>
    <x v="0"/>
    <x v="1"/>
    <x v="0"/>
  </r>
  <r>
    <x v="171"/>
    <x v="6"/>
    <x v="1"/>
    <x v="4"/>
    <x v="2"/>
    <x v="101"/>
    <x v="4"/>
    <x v="58"/>
    <x v="19"/>
    <x v="2"/>
    <x v="0"/>
    <x v="0"/>
    <x v="2"/>
    <x v="0"/>
    <x v="0"/>
  </r>
  <r>
    <x v="172"/>
    <x v="8"/>
    <x v="0"/>
    <x v="6"/>
    <x v="2"/>
    <x v="96"/>
    <x v="1"/>
    <x v="58"/>
    <x v="79"/>
    <x v="14"/>
    <x v="0"/>
    <x v="0"/>
    <x v="0"/>
    <x v="0"/>
    <x v="0"/>
  </r>
  <r>
    <x v="173"/>
    <x v="5"/>
    <x v="1"/>
    <x v="5"/>
    <x v="2"/>
    <x v="37"/>
    <x v="0"/>
    <x v="58"/>
    <x v="21"/>
    <x v="17"/>
    <x v="0"/>
    <x v="0"/>
    <x v="1"/>
    <x v="2"/>
    <x v="0"/>
  </r>
  <r>
    <x v="174"/>
    <x v="12"/>
    <x v="1"/>
    <x v="10"/>
    <x v="0"/>
    <x v="19"/>
    <x v="2"/>
    <x v="58"/>
    <x v="45"/>
    <x v="13"/>
    <x v="0"/>
    <x v="0"/>
    <x v="0"/>
    <x v="0"/>
    <x v="0"/>
  </r>
  <r>
    <x v="175"/>
    <x v="14"/>
    <x v="1"/>
    <x v="12"/>
    <x v="2"/>
    <x v="51"/>
    <x v="4"/>
    <x v="58"/>
    <x v="71"/>
    <x v="2"/>
    <x v="0"/>
    <x v="0"/>
    <x v="0"/>
    <x v="0"/>
    <x v="0"/>
  </r>
  <r>
    <x v="176"/>
    <x v="5"/>
    <x v="1"/>
    <x v="5"/>
    <x v="2"/>
    <x v="97"/>
    <x v="0"/>
    <x v="58"/>
    <x v="28"/>
    <x v="18"/>
    <x v="0"/>
    <x v="0"/>
    <x v="0"/>
    <x v="2"/>
    <x v="0"/>
  </r>
  <r>
    <x v="177"/>
    <x v="10"/>
    <x v="0"/>
    <x v="8"/>
    <x v="1"/>
    <x v="93"/>
    <x v="1"/>
    <x v="59"/>
    <x v="80"/>
    <x v="10"/>
    <x v="0"/>
    <x v="1"/>
    <x v="2"/>
    <x v="2"/>
    <x v="0"/>
  </r>
  <r>
    <x v="178"/>
    <x v="5"/>
    <x v="1"/>
    <x v="5"/>
    <x v="2"/>
    <x v="88"/>
    <x v="2"/>
    <x v="59"/>
    <x v="52"/>
    <x v="35"/>
    <x v="0"/>
    <x v="1"/>
    <x v="1"/>
    <x v="1"/>
    <x v="0"/>
  </r>
  <r>
    <x v="179"/>
    <x v="12"/>
    <x v="1"/>
    <x v="10"/>
    <x v="0"/>
    <x v="21"/>
    <x v="3"/>
    <x v="59"/>
    <x v="46"/>
    <x v="6"/>
    <x v="0"/>
    <x v="1"/>
    <x v="0"/>
    <x v="2"/>
    <x v="0"/>
  </r>
  <r>
    <x v="180"/>
    <x v="9"/>
    <x v="1"/>
    <x v="7"/>
    <x v="1"/>
    <x v="63"/>
    <x v="3"/>
    <x v="59"/>
    <x v="37"/>
    <x v="36"/>
    <x v="0"/>
    <x v="1"/>
    <x v="0"/>
    <x v="5"/>
    <x v="0"/>
  </r>
  <r>
    <x v="181"/>
    <x v="4"/>
    <x v="1"/>
    <x v="4"/>
    <x v="0"/>
    <x v="86"/>
    <x v="1"/>
    <x v="60"/>
    <x v="43"/>
    <x v="2"/>
    <x v="0"/>
    <x v="2"/>
    <x v="0"/>
    <x v="0"/>
    <x v="0"/>
  </r>
  <r>
    <x v="182"/>
    <x v="5"/>
    <x v="1"/>
    <x v="5"/>
    <x v="2"/>
    <x v="53"/>
    <x v="1"/>
    <x v="60"/>
    <x v="32"/>
    <x v="14"/>
    <x v="0"/>
    <x v="2"/>
    <x v="0"/>
    <x v="0"/>
    <x v="0"/>
  </r>
  <r>
    <x v="183"/>
    <x v="8"/>
    <x v="0"/>
    <x v="6"/>
    <x v="2"/>
    <x v="6"/>
    <x v="0"/>
    <x v="60"/>
    <x v="60"/>
    <x v="12"/>
    <x v="0"/>
    <x v="2"/>
    <x v="0"/>
    <x v="2"/>
    <x v="0"/>
  </r>
  <r>
    <x v="184"/>
    <x v="8"/>
    <x v="0"/>
    <x v="6"/>
    <x v="2"/>
    <x v="29"/>
    <x v="0"/>
    <x v="60"/>
    <x v="22"/>
    <x v="7"/>
    <x v="0"/>
    <x v="2"/>
    <x v="0"/>
    <x v="1"/>
    <x v="0"/>
  </r>
  <r>
    <x v="185"/>
    <x v="7"/>
    <x v="1"/>
    <x v="2"/>
    <x v="2"/>
    <x v="102"/>
    <x v="0"/>
    <x v="60"/>
    <x v="81"/>
    <x v="6"/>
    <x v="0"/>
    <x v="2"/>
    <x v="0"/>
    <x v="2"/>
    <x v="0"/>
  </r>
  <r>
    <x v="186"/>
    <x v="7"/>
    <x v="1"/>
    <x v="2"/>
    <x v="2"/>
    <x v="103"/>
    <x v="3"/>
    <x v="60"/>
    <x v="12"/>
    <x v="9"/>
    <x v="0"/>
    <x v="2"/>
    <x v="2"/>
    <x v="2"/>
    <x v="0"/>
  </r>
  <r>
    <x v="187"/>
    <x v="8"/>
    <x v="0"/>
    <x v="6"/>
    <x v="2"/>
    <x v="104"/>
    <x v="2"/>
    <x v="60"/>
    <x v="42"/>
    <x v="14"/>
    <x v="0"/>
    <x v="2"/>
    <x v="1"/>
    <x v="0"/>
    <x v="0"/>
  </r>
  <r>
    <x v="188"/>
    <x v="13"/>
    <x v="0"/>
    <x v="11"/>
    <x v="1"/>
    <x v="24"/>
    <x v="4"/>
    <x v="60"/>
    <x v="82"/>
    <x v="35"/>
    <x v="0"/>
    <x v="2"/>
    <x v="0"/>
    <x v="1"/>
    <x v="0"/>
  </r>
  <r>
    <x v="189"/>
    <x v="14"/>
    <x v="1"/>
    <x v="12"/>
    <x v="2"/>
    <x v="6"/>
    <x v="1"/>
    <x v="61"/>
    <x v="83"/>
    <x v="35"/>
    <x v="0"/>
    <x v="3"/>
    <x v="0"/>
    <x v="1"/>
    <x v="0"/>
  </r>
  <r>
    <x v="190"/>
    <x v="10"/>
    <x v="0"/>
    <x v="8"/>
    <x v="1"/>
    <x v="105"/>
    <x v="0"/>
    <x v="62"/>
    <x v="3"/>
    <x v="37"/>
    <x v="0"/>
    <x v="4"/>
    <x v="3"/>
    <x v="3"/>
    <x v="0"/>
  </r>
  <r>
    <x v="191"/>
    <x v="14"/>
    <x v="1"/>
    <x v="12"/>
    <x v="2"/>
    <x v="29"/>
    <x v="4"/>
    <x v="62"/>
    <x v="14"/>
    <x v="35"/>
    <x v="0"/>
    <x v="4"/>
    <x v="0"/>
    <x v="1"/>
    <x v="0"/>
  </r>
  <r>
    <x v="192"/>
    <x v="7"/>
    <x v="1"/>
    <x v="2"/>
    <x v="2"/>
    <x v="24"/>
    <x v="2"/>
    <x v="62"/>
    <x v="35"/>
    <x v="20"/>
    <x v="0"/>
    <x v="4"/>
    <x v="0"/>
    <x v="2"/>
    <x v="0"/>
  </r>
  <r>
    <x v="193"/>
    <x v="5"/>
    <x v="1"/>
    <x v="5"/>
    <x v="2"/>
    <x v="106"/>
    <x v="3"/>
    <x v="63"/>
    <x v="9"/>
    <x v="0"/>
    <x v="0"/>
    <x v="5"/>
    <x v="0"/>
    <x v="0"/>
    <x v="0"/>
  </r>
  <r>
    <x v="194"/>
    <x v="1"/>
    <x v="0"/>
    <x v="1"/>
    <x v="0"/>
    <x v="23"/>
    <x v="0"/>
    <x v="63"/>
    <x v="84"/>
    <x v="7"/>
    <x v="0"/>
    <x v="5"/>
    <x v="1"/>
    <x v="1"/>
    <x v="0"/>
  </r>
  <r>
    <x v="195"/>
    <x v="5"/>
    <x v="1"/>
    <x v="5"/>
    <x v="2"/>
    <x v="47"/>
    <x v="3"/>
    <x v="63"/>
    <x v="43"/>
    <x v="13"/>
    <x v="0"/>
    <x v="5"/>
    <x v="0"/>
    <x v="0"/>
    <x v="0"/>
  </r>
  <r>
    <x v="196"/>
    <x v="2"/>
    <x v="0"/>
    <x v="2"/>
    <x v="1"/>
    <x v="28"/>
    <x v="1"/>
    <x v="63"/>
    <x v="11"/>
    <x v="13"/>
    <x v="0"/>
    <x v="5"/>
    <x v="0"/>
    <x v="0"/>
    <x v="0"/>
  </r>
  <r>
    <x v="197"/>
    <x v="5"/>
    <x v="1"/>
    <x v="5"/>
    <x v="2"/>
    <x v="51"/>
    <x v="3"/>
    <x v="63"/>
    <x v="7"/>
    <x v="9"/>
    <x v="0"/>
    <x v="5"/>
    <x v="0"/>
    <x v="2"/>
    <x v="0"/>
  </r>
  <r>
    <x v="198"/>
    <x v="1"/>
    <x v="0"/>
    <x v="1"/>
    <x v="0"/>
    <x v="41"/>
    <x v="3"/>
    <x v="64"/>
    <x v="85"/>
    <x v="6"/>
    <x v="0"/>
    <x v="6"/>
    <x v="0"/>
    <x v="2"/>
    <x v="0"/>
  </r>
  <r>
    <x v="199"/>
    <x v="0"/>
    <x v="0"/>
    <x v="0"/>
    <x v="0"/>
    <x v="107"/>
    <x v="2"/>
    <x v="64"/>
    <x v="32"/>
    <x v="20"/>
    <x v="0"/>
    <x v="6"/>
    <x v="0"/>
    <x v="2"/>
    <x v="0"/>
  </r>
  <r>
    <x v="200"/>
    <x v="2"/>
    <x v="0"/>
    <x v="2"/>
    <x v="1"/>
    <x v="5"/>
    <x v="0"/>
    <x v="64"/>
    <x v="48"/>
    <x v="18"/>
    <x v="0"/>
    <x v="6"/>
    <x v="0"/>
    <x v="2"/>
    <x v="0"/>
  </r>
  <r>
    <x v="201"/>
    <x v="13"/>
    <x v="0"/>
    <x v="11"/>
    <x v="1"/>
    <x v="108"/>
    <x v="4"/>
    <x v="64"/>
    <x v="86"/>
    <x v="15"/>
    <x v="0"/>
    <x v="6"/>
    <x v="2"/>
    <x v="3"/>
    <x v="0"/>
  </r>
  <r>
    <x v="202"/>
    <x v="13"/>
    <x v="0"/>
    <x v="11"/>
    <x v="1"/>
    <x v="47"/>
    <x v="3"/>
    <x v="64"/>
    <x v="28"/>
    <x v="9"/>
    <x v="0"/>
    <x v="6"/>
    <x v="0"/>
    <x v="2"/>
    <x v="0"/>
  </r>
  <r>
    <x v="203"/>
    <x v="9"/>
    <x v="1"/>
    <x v="7"/>
    <x v="1"/>
    <x v="45"/>
    <x v="3"/>
    <x v="64"/>
    <x v="28"/>
    <x v="18"/>
    <x v="0"/>
    <x v="6"/>
    <x v="0"/>
    <x v="2"/>
    <x v="0"/>
  </r>
  <r>
    <x v="204"/>
    <x v="7"/>
    <x v="1"/>
    <x v="2"/>
    <x v="2"/>
    <x v="104"/>
    <x v="0"/>
    <x v="64"/>
    <x v="67"/>
    <x v="22"/>
    <x v="0"/>
    <x v="6"/>
    <x v="1"/>
    <x v="1"/>
    <x v="0"/>
  </r>
  <r>
    <x v="205"/>
    <x v="4"/>
    <x v="1"/>
    <x v="4"/>
    <x v="0"/>
    <x v="21"/>
    <x v="3"/>
    <x v="65"/>
    <x v="52"/>
    <x v="4"/>
    <x v="0"/>
    <x v="0"/>
    <x v="0"/>
    <x v="0"/>
    <x v="0"/>
  </r>
  <r>
    <x v="206"/>
    <x v="14"/>
    <x v="1"/>
    <x v="12"/>
    <x v="2"/>
    <x v="91"/>
    <x v="4"/>
    <x v="65"/>
    <x v="87"/>
    <x v="2"/>
    <x v="0"/>
    <x v="0"/>
    <x v="4"/>
    <x v="0"/>
    <x v="0"/>
  </r>
  <r>
    <x v="207"/>
    <x v="12"/>
    <x v="1"/>
    <x v="10"/>
    <x v="0"/>
    <x v="109"/>
    <x v="1"/>
    <x v="65"/>
    <x v="20"/>
    <x v="16"/>
    <x v="0"/>
    <x v="0"/>
    <x v="2"/>
    <x v="1"/>
    <x v="0"/>
  </r>
  <r>
    <x v="208"/>
    <x v="14"/>
    <x v="1"/>
    <x v="12"/>
    <x v="2"/>
    <x v="110"/>
    <x v="3"/>
    <x v="66"/>
    <x v="37"/>
    <x v="20"/>
    <x v="0"/>
    <x v="1"/>
    <x v="1"/>
    <x v="2"/>
    <x v="0"/>
  </r>
  <r>
    <x v="209"/>
    <x v="13"/>
    <x v="0"/>
    <x v="11"/>
    <x v="1"/>
    <x v="84"/>
    <x v="2"/>
    <x v="66"/>
    <x v="42"/>
    <x v="0"/>
    <x v="0"/>
    <x v="1"/>
    <x v="0"/>
    <x v="0"/>
    <x v="0"/>
  </r>
  <r>
    <x v="210"/>
    <x v="7"/>
    <x v="1"/>
    <x v="2"/>
    <x v="2"/>
    <x v="111"/>
    <x v="0"/>
    <x v="66"/>
    <x v="21"/>
    <x v="8"/>
    <x v="0"/>
    <x v="1"/>
    <x v="1"/>
    <x v="2"/>
    <x v="0"/>
  </r>
  <r>
    <x v="211"/>
    <x v="12"/>
    <x v="1"/>
    <x v="10"/>
    <x v="0"/>
    <x v="61"/>
    <x v="0"/>
    <x v="66"/>
    <x v="40"/>
    <x v="5"/>
    <x v="0"/>
    <x v="1"/>
    <x v="1"/>
    <x v="2"/>
    <x v="0"/>
  </r>
  <r>
    <x v="212"/>
    <x v="2"/>
    <x v="0"/>
    <x v="2"/>
    <x v="1"/>
    <x v="106"/>
    <x v="4"/>
    <x v="66"/>
    <x v="2"/>
    <x v="3"/>
    <x v="0"/>
    <x v="1"/>
    <x v="0"/>
    <x v="1"/>
    <x v="0"/>
  </r>
  <r>
    <x v="213"/>
    <x v="12"/>
    <x v="1"/>
    <x v="10"/>
    <x v="0"/>
    <x v="36"/>
    <x v="2"/>
    <x v="67"/>
    <x v="23"/>
    <x v="17"/>
    <x v="0"/>
    <x v="2"/>
    <x v="3"/>
    <x v="2"/>
    <x v="0"/>
  </r>
  <r>
    <x v="214"/>
    <x v="0"/>
    <x v="0"/>
    <x v="0"/>
    <x v="0"/>
    <x v="112"/>
    <x v="3"/>
    <x v="67"/>
    <x v="85"/>
    <x v="8"/>
    <x v="0"/>
    <x v="2"/>
    <x v="1"/>
    <x v="2"/>
    <x v="0"/>
  </r>
  <r>
    <x v="215"/>
    <x v="7"/>
    <x v="1"/>
    <x v="2"/>
    <x v="2"/>
    <x v="16"/>
    <x v="1"/>
    <x v="67"/>
    <x v="38"/>
    <x v="11"/>
    <x v="0"/>
    <x v="2"/>
    <x v="3"/>
    <x v="2"/>
    <x v="0"/>
  </r>
  <r>
    <x v="216"/>
    <x v="7"/>
    <x v="1"/>
    <x v="2"/>
    <x v="2"/>
    <x v="1"/>
    <x v="3"/>
    <x v="67"/>
    <x v="88"/>
    <x v="10"/>
    <x v="0"/>
    <x v="2"/>
    <x v="0"/>
    <x v="2"/>
    <x v="0"/>
  </r>
  <r>
    <x v="217"/>
    <x v="14"/>
    <x v="1"/>
    <x v="12"/>
    <x v="2"/>
    <x v="83"/>
    <x v="4"/>
    <x v="67"/>
    <x v="59"/>
    <x v="25"/>
    <x v="0"/>
    <x v="2"/>
    <x v="0"/>
    <x v="1"/>
    <x v="0"/>
  </r>
  <r>
    <x v="218"/>
    <x v="8"/>
    <x v="0"/>
    <x v="6"/>
    <x v="2"/>
    <x v="2"/>
    <x v="4"/>
    <x v="67"/>
    <x v="37"/>
    <x v="0"/>
    <x v="0"/>
    <x v="2"/>
    <x v="0"/>
    <x v="0"/>
    <x v="0"/>
  </r>
  <r>
    <x v="219"/>
    <x v="9"/>
    <x v="1"/>
    <x v="7"/>
    <x v="1"/>
    <x v="113"/>
    <x v="1"/>
    <x v="67"/>
    <x v="32"/>
    <x v="7"/>
    <x v="0"/>
    <x v="2"/>
    <x v="0"/>
    <x v="1"/>
    <x v="0"/>
  </r>
  <r>
    <x v="220"/>
    <x v="9"/>
    <x v="1"/>
    <x v="7"/>
    <x v="1"/>
    <x v="47"/>
    <x v="0"/>
    <x v="67"/>
    <x v="7"/>
    <x v="16"/>
    <x v="0"/>
    <x v="2"/>
    <x v="0"/>
    <x v="1"/>
    <x v="0"/>
  </r>
  <r>
    <x v="221"/>
    <x v="1"/>
    <x v="0"/>
    <x v="1"/>
    <x v="0"/>
    <x v="12"/>
    <x v="3"/>
    <x v="68"/>
    <x v="43"/>
    <x v="2"/>
    <x v="0"/>
    <x v="3"/>
    <x v="1"/>
    <x v="0"/>
    <x v="0"/>
  </r>
  <r>
    <x v="222"/>
    <x v="7"/>
    <x v="1"/>
    <x v="2"/>
    <x v="2"/>
    <x v="44"/>
    <x v="3"/>
    <x v="68"/>
    <x v="39"/>
    <x v="9"/>
    <x v="0"/>
    <x v="3"/>
    <x v="2"/>
    <x v="2"/>
    <x v="0"/>
  </r>
  <r>
    <x v="223"/>
    <x v="10"/>
    <x v="0"/>
    <x v="8"/>
    <x v="1"/>
    <x v="87"/>
    <x v="0"/>
    <x v="68"/>
    <x v="85"/>
    <x v="11"/>
    <x v="0"/>
    <x v="3"/>
    <x v="1"/>
    <x v="2"/>
    <x v="0"/>
  </r>
  <r>
    <x v="224"/>
    <x v="1"/>
    <x v="0"/>
    <x v="1"/>
    <x v="0"/>
    <x v="68"/>
    <x v="1"/>
    <x v="68"/>
    <x v="31"/>
    <x v="22"/>
    <x v="0"/>
    <x v="3"/>
    <x v="2"/>
    <x v="1"/>
    <x v="0"/>
  </r>
  <r>
    <x v="225"/>
    <x v="10"/>
    <x v="0"/>
    <x v="8"/>
    <x v="1"/>
    <x v="33"/>
    <x v="1"/>
    <x v="68"/>
    <x v="89"/>
    <x v="4"/>
    <x v="0"/>
    <x v="3"/>
    <x v="0"/>
    <x v="0"/>
    <x v="0"/>
  </r>
  <r>
    <x v="226"/>
    <x v="9"/>
    <x v="1"/>
    <x v="7"/>
    <x v="1"/>
    <x v="83"/>
    <x v="1"/>
    <x v="68"/>
    <x v="90"/>
    <x v="34"/>
    <x v="0"/>
    <x v="3"/>
    <x v="0"/>
    <x v="1"/>
    <x v="0"/>
  </r>
  <r>
    <x v="227"/>
    <x v="4"/>
    <x v="1"/>
    <x v="4"/>
    <x v="0"/>
    <x v="114"/>
    <x v="4"/>
    <x v="68"/>
    <x v="73"/>
    <x v="6"/>
    <x v="0"/>
    <x v="3"/>
    <x v="1"/>
    <x v="2"/>
    <x v="0"/>
  </r>
  <r>
    <x v="228"/>
    <x v="9"/>
    <x v="1"/>
    <x v="7"/>
    <x v="1"/>
    <x v="31"/>
    <x v="3"/>
    <x v="69"/>
    <x v="18"/>
    <x v="2"/>
    <x v="0"/>
    <x v="4"/>
    <x v="0"/>
    <x v="0"/>
    <x v="0"/>
  </r>
  <r>
    <x v="229"/>
    <x v="13"/>
    <x v="0"/>
    <x v="11"/>
    <x v="1"/>
    <x v="76"/>
    <x v="0"/>
    <x v="69"/>
    <x v="69"/>
    <x v="5"/>
    <x v="0"/>
    <x v="4"/>
    <x v="1"/>
    <x v="2"/>
    <x v="0"/>
  </r>
  <r>
    <x v="230"/>
    <x v="3"/>
    <x v="1"/>
    <x v="3"/>
    <x v="1"/>
    <x v="73"/>
    <x v="1"/>
    <x v="69"/>
    <x v="12"/>
    <x v="12"/>
    <x v="0"/>
    <x v="4"/>
    <x v="2"/>
    <x v="2"/>
    <x v="0"/>
  </r>
  <r>
    <x v="231"/>
    <x v="1"/>
    <x v="0"/>
    <x v="1"/>
    <x v="0"/>
    <x v="30"/>
    <x v="0"/>
    <x v="69"/>
    <x v="51"/>
    <x v="0"/>
    <x v="0"/>
    <x v="4"/>
    <x v="0"/>
    <x v="0"/>
    <x v="0"/>
  </r>
  <r>
    <x v="232"/>
    <x v="4"/>
    <x v="1"/>
    <x v="4"/>
    <x v="0"/>
    <x v="17"/>
    <x v="1"/>
    <x v="69"/>
    <x v="30"/>
    <x v="4"/>
    <x v="0"/>
    <x v="4"/>
    <x v="2"/>
    <x v="0"/>
    <x v="0"/>
  </r>
  <r>
    <x v="233"/>
    <x v="9"/>
    <x v="1"/>
    <x v="7"/>
    <x v="1"/>
    <x v="38"/>
    <x v="1"/>
    <x v="69"/>
    <x v="66"/>
    <x v="23"/>
    <x v="0"/>
    <x v="4"/>
    <x v="0"/>
    <x v="1"/>
    <x v="0"/>
  </r>
  <r>
    <x v="234"/>
    <x v="5"/>
    <x v="1"/>
    <x v="5"/>
    <x v="2"/>
    <x v="41"/>
    <x v="1"/>
    <x v="69"/>
    <x v="55"/>
    <x v="7"/>
    <x v="0"/>
    <x v="4"/>
    <x v="0"/>
    <x v="1"/>
    <x v="0"/>
  </r>
  <r>
    <x v="235"/>
    <x v="10"/>
    <x v="0"/>
    <x v="8"/>
    <x v="1"/>
    <x v="5"/>
    <x v="1"/>
    <x v="69"/>
    <x v="18"/>
    <x v="8"/>
    <x v="0"/>
    <x v="4"/>
    <x v="0"/>
    <x v="2"/>
    <x v="0"/>
  </r>
  <r>
    <x v="236"/>
    <x v="0"/>
    <x v="0"/>
    <x v="0"/>
    <x v="0"/>
    <x v="102"/>
    <x v="2"/>
    <x v="70"/>
    <x v="29"/>
    <x v="0"/>
    <x v="0"/>
    <x v="5"/>
    <x v="0"/>
    <x v="0"/>
    <x v="0"/>
  </r>
  <r>
    <x v="237"/>
    <x v="6"/>
    <x v="1"/>
    <x v="4"/>
    <x v="2"/>
    <x v="90"/>
    <x v="0"/>
    <x v="70"/>
    <x v="3"/>
    <x v="17"/>
    <x v="0"/>
    <x v="5"/>
    <x v="0"/>
    <x v="2"/>
    <x v="0"/>
  </r>
  <r>
    <x v="238"/>
    <x v="2"/>
    <x v="0"/>
    <x v="2"/>
    <x v="1"/>
    <x v="34"/>
    <x v="3"/>
    <x v="71"/>
    <x v="63"/>
    <x v="0"/>
    <x v="0"/>
    <x v="6"/>
    <x v="0"/>
    <x v="0"/>
    <x v="0"/>
  </r>
  <r>
    <x v="239"/>
    <x v="11"/>
    <x v="1"/>
    <x v="9"/>
    <x v="2"/>
    <x v="101"/>
    <x v="1"/>
    <x v="71"/>
    <x v="13"/>
    <x v="12"/>
    <x v="0"/>
    <x v="6"/>
    <x v="2"/>
    <x v="2"/>
    <x v="0"/>
  </r>
  <r>
    <x v="240"/>
    <x v="7"/>
    <x v="1"/>
    <x v="2"/>
    <x v="2"/>
    <x v="29"/>
    <x v="4"/>
    <x v="71"/>
    <x v="37"/>
    <x v="17"/>
    <x v="0"/>
    <x v="6"/>
    <x v="0"/>
    <x v="2"/>
    <x v="0"/>
  </r>
  <r>
    <x v="241"/>
    <x v="13"/>
    <x v="0"/>
    <x v="11"/>
    <x v="1"/>
    <x v="32"/>
    <x v="2"/>
    <x v="71"/>
    <x v="54"/>
    <x v="5"/>
    <x v="0"/>
    <x v="6"/>
    <x v="0"/>
    <x v="2"/>
    <x v="0"/>
  </r>
  <r>
    <x v="242"/>
    <x v="6"/>
    <x v="1"/>
    <x v="4"/>
    <x v="2"/>
    <x v="20"/>
    <x v="1"/>
    <x v="72"/>
    <x v="57"/>
    <x v="14"/>
    <x v="0"/>
    <x v="0"/>
    <x v="2"/>
    <x v="0"/>
    <x v="0"/>
  </r>
  <r>
    <x v="243"/>
    <x v="10"/>
    <x v="0"/>
    <x v="8"/>
    <x v="1"/>
    <x v="5"/>
    <x v="2"/>
    <x v="72"/>
    <x v="3"/>
    <x v="8"/>
    <x v="0"/>
    <x v="0"/>
    <x v="0"/>
    <x v="2"/>
    <x v="0"/>
  </r>
  <r>
    <x v="244"/>
    <x v="9"/>
    <x v="1"/>
    <x v="7"/>
    <x v="1"/>
    <x v="115"/>
    <x v="2"/>
    <x v="72"/>
    <x v="76"/>
    <x v="5"/>
    <x v="0"/>
    <x v="0"/>
    <x v="1"/>
    <x v="2"/>
    <x v="0"/>
  </r>
  <r>
    <x v="245"/>
    <x v="6"/>
    <x v="1"/>
    <x v="4"/>
    <x v="2"/>
    <x v="19"/>
    <x v="2"/>
    <x v="72"/>
    <x v="82"/>
    <x v="8"/>
    <x v="0"/>
    <x v="0"/>
    <x v="0"/>
    <x v="2"/>
    <x v="0"/>
  </r>
  <r>
    <x v="246"/>
    <x v="1"/>
    <x v="0"/>
    <x v="1"/>
    <x v="0"/>
    <x v="116"/>
    <x v="2"/>
    <x v="73"/>
    <x v="11"/>
    <x v="11"/>
    <x v="0"/>
    <x v="1"/>
    <x v="1"/>
    <x v="2"/>
    <x v="0"/>
  </r>
  <r>
    <x v="247"/>
    <x v="1"/>
    <x v="0"/>
    <x v="1"/>
    <x v="0"/>
    <x v="34"/>
    <x v="1"/>
    <x v="73"/>
    <x v="11"/>
    <x v="16"/>
    <x v="0"/>
    <x v="1"/>
    <x v="0"/>
    <x v="1"/>
    <x v="0"/>
  </r>
  <r>
    <x v="248"/>
    <x v="2"/>
    <x v="0"/>
    <x v="2"/>
    <x v="1"/>
    <x v="108"/>
    <x v="0"/>
    <x v="73"/>
    <x v="4"/>
    <x v="5"/>
    <x v="0"/>
    <x v="1"/>
    <x v="2"/>
    <x v="2"/>
    <x v="0"/>
  </r>
  <r>
    <x v="249"/>
    <x v="4"/>
    <x v="1"/>
    <x v="4"/>
    <x v="0"/>
    <x v="13"/>
    <x v="1"/>
    <x v="73"/>
    <x v="70"/>
    <x v="10"/>
    <x v="0"/>
    <x v="1"/>
    <x v="2"/>
    <x v="2"/>
    <x v="0"/>
  </r>
  <r>
    <x v="250"/>
    <x v="1"/>
    <x v="0"/>
    <x v="1"/>
    <x v="0"/>
    <x v="71"/>
    <x v="0"/>
    <x v="73"/>
    <x v="51"/>
    <x v="34"/>
    <x v="0"/>
    <x v="1"/>
    <x v="2"/>
    <x v="1"/>
    <x v="0"/>
  </r>
  <r>
    <x v="251"/>
    <x v="3"/>
    <x v="1"/>
    <x v="3"/>
    <x v="1"/>
    <x v="117"/>
    <x v="4"/>
    <x v="73"/>
    <x v="89"/>
    <x v="1"/>
    <x v="0"/>
    <x v="1"/>
    <x v="0"/>
    <x v="1"/>
    <x v="0"/>
  </r>
  <r>
    <x v="252"/>
    <x v="2"/>
    <x v="0"/>
    <x v="2"/>
    <x v="1"/>
    <x v="9"/>
    <x v="2"/>
    <x v="74"/>
    <x v="91"/>
    <x v="9"/>
    <x v="0"/>
    <x v="2"/>
    <x v="0"/>
    <x v="2"/>
    <x v="0"/>
  </r>
  <r>
    <x v="253"/>
    <x v="3"/>
    <x v="1"/>
    <x v="3"/>
    <x v="1"/>
    <x v="23"/>
    <x v="4"/>
    <x v="74"/>
    <x v="63"/>
    <x v="5"/>
    <x v="0"/>
    <x v="2"/>
    <x v="1"/>
    <x v="2"/>
    <x v="0"/>
  </r>
  <r>
    <x v="254"/>
    <x v="1"/>
    <x v="0"/>
    <x v="1"/>
    <x v="0"/>
    <x v="47"/>
    <x v="4"/>
    <x v="74"/>
    <x v="6"/>
    <x v="13"/>
    <x v="0"/>
    <x v="2"/>
    <x v="0"/>
    <x v="0"/>
    <x v="0"/>
  </r>
  <r>
    <x v="255"/>
    <x v="5"/>
    <x v="1"/>
    <x v="5"/>
    <x v="2"/>
    <x v="44"/>
    <x v="2"/>
    <x v="74"/>
    <x v="46"/>
    <x v="17"/>
    <x v="0"/>
    <x v="2"/>
    <x v="2"/>
    <x v="2"/>
    <x v="0"/>
  </r>
  <r>
    <x v="256"/>
    <x v="5"/>
    <x v="1"/>
    <x v="5"/>
    <x v="2"/>
    <x v="111"/>
    <x v="1"/>
    <x v="74"/>
    <x v="55"/>
    <x v="5"/>
    <x v="0"/>
    <x v="2"/>
    <x v="1"/>
    <x v="2"/>
    <x v="0"/>
  </r>
  <r>
    <x v="257"/>
    <x v="10"/>
    <x v="0"/>
    <x v="8"/>
    <x v="1"/>
    <x v="97"/>
    <x v="3"/>
    <x v="74"/>
    <x v="35"/>
    <x v="17"/>
    <x v="0"/>
    <x v="2"/>
    <x v="0"/>
    <x v="2"/>
    <x v="0"/>
  </r>
  <r>
    <x v="258"/>
    <x v="12"/>
    <x v="1"/>
    <x v="10"/>
    <x v="0"/>
    <x v="85"/>
    <x v="0"/>
    <x v="74"/>
    <x v="44"/>
    <x v="14"/>
    <x v="0"/>
    <x v="2"/>
    <x v="1"/>
    <x v="0"/>
    <x v="0"/>
  </r>
  <r>
    <x v="259"/>
    <x v="12"/>
    <x v="1"/>
    <x v="10"/>
    <x v="0"/>
    <x v="20"/>
    <x v="2"/>
    <x v="75"/>
    <x v="92"/>
    <x v="18"/>
    <x v="0"/>
    <x v="3"/>
    <x v="2"/>
    <x v="2"/>
    <x v="0"/>
  </r>
  <r>
    <x v="260"/>
    <x v="4"/>
    <x v="1"/>
    <x v="4"/>
    <x v="0"/>
    <x v="47"/>
    <x v="4"/>
    <x v="75"/>
    <x v="90"/>
    <x v="19"/>
    <x v="0"/>
    <x v="3"/>
    <x v="0"/>
    <x v="0"/>
    <x v="0"/>
  </r>
  <r>
    <x v="261"/>
    <x v="9"/>
    <x v="1"/>
    <x v="7"/>
    <x v="1"/>
    <x v="44"/>
    <x v="1"/>
    <x v="75"/>
    <x v="0"/>
    <x v="14"/>
    <x v="0"/>
    <x v="3"/>
    <x v="2"/>
    <x v="0"/>
    <x v="0"/>
  </r>
  <r>
    <x v="262"/>
    <x v="14"/>
    <x v="1"/>
    <x v="12"/>
    <x v="2"/>
    <x v="92"/>
    <x v="4"/>
    <x v="75"/>
    <x v="31"/>
    <x v="17"/>
    <x v="0"/>
    <x v="3"/>
    <x v="1"/>
    <x v="2"/>
    <x v="0"/>
  </r>
  <r>
    <x v="263"/>
    <x v="8"/>
    <x v="0"/>
    <x v="6"/>
    <x v="2"/>
    <x v="58"/>
    <x v="3"/>
    <x v="75"/>
    <x v="58"/>
    <x v="4"/>
    <x v="0"/>
    <x v="3"/>
    <x v="0"/>
    <x v="0"/>
    <x v="0"/>
  </r>
  <r>
    <x v="264"/>
    <x v="11"/>
    <x v="1"/>
    <x v="9"/>
    <x v="2"/>
    <x v="85"/>
    <x v="1"/>
    <x v="75"/>
    <x v="60"/>
    <x v="22"/>
    <x v="0"/>
    <x v="3"/>
    <x v="1"/>
    <x v="1"/>
    <x v="0"/>
  </r>
  <r>
    <x v="265"/>
    <x v="6"/>
    <x v="1"/>
    <x v="4"/>
    <x v="2"/>
    <x v="37"/>
    <x v="1"/>
    <x v="75"/>
    <x v="81"/>
    <x v="0"/>
    <x v="0"/>
    <x v="3"/>
    <x v="1"/>
    <x v="0"/>
    <x v="0"/>
  </r>
  <r>
    <x v="266"/>
    <x v="5"/>
    <x v="1"/>
    <x v="5"/>
    <x v="2"/>
    <x v="75"/>
    <x v="3"/>
    <x v="76"/>
    <x v="33"/>
    <x v="17"/>
    <x v="0"/>
    <x v="4"/>
    <x v="0"/>
    <x v="2"/>
    <x v="0"/>
  </r>
  <r>
    <x v="267"/>
    <x v="12"/>
    <x v="1"/>
    <x v="10"/>
    <x v="0"/>
    <x v="112"/>
    <x v="3"/>
    <x v="77"/>
    <x v="4"/>
    <x v="5"/>
    <x v="0"/>
    <x v="5"/>
    <x v="1"/>
    <x v="2"/>
    <x v="0"/>
  </r>
  <r>
    <x v="268"/>
    <x v="2"/>
    <x v="0"/>
    <x v="2"/>
    <x v="1"/>
    <x v="107"/>
    <x v="4"/>
    <x v="77"/>
    <x v="18"/>
    <x v="5"/>
    <x v="0"/>
    <x v="5"/>
    <x v="0"/>
    <x v="2"/>
    <x v="0"/>
  </r>
  <r>
    <x v="269"/>
    <x v="12"/>
    <x v="1"/>
    <x v="10"/>
    <x v="0"/>
    <x v="118"/>
    <x v="0"/>
    <x v="78"/>
    <x v="79"/>
    <x v="35"/>
    <x v="0"/>
    <x v="6"/>
    <x v="1"/>
    <x v="1"/>
    <x v="0"/>
  </r>
  <r>
    <x v="270"/>
    <x v="14"/>
    <x v="1"/>
    <x v="12"/>
    <x v="2"/>
    <x v="77"/>
    <x v="1"/>
    <x v="78"/>
    <x v="27"/>
    <x v="5"/>
    <x v="0"/>
    <x v="6"/>
    <x v="0"/>
    <x v="2"/>
    <x v="0"/>
  </r>
  <r>
    <x v="271"/>
    <x v="10"/>
    <x v="0"/>
    <x v="8"/>
    <x v="1"/>
    <x v="53"/>
    <x v="4"/>
    <x v="78"/>
    <x v="41"/>
    <x v="20"/>
    <x v="0"/>
    <x v="6"/>
    <x v="0"/>
    <x v="2"/>
    <x v="0"/>
  </r>
  <r>
    <x v="272"/>
    <x v="9"/>
    <x v="1"/>
    <x v="7"/>
    <x v="1"/>
    <x v="40"/>
    <x v="0"/>
    <x v="78"/>
    <x v="5"/>
    <x v="10"/>
    <x v="0"/>
    <x v="6"/>
    <x v="1"/>
    <x v="2"/>
    <x v="0"/>
  </r>
  <r>
    <x v="273"/>
    <x v="12"/>
    <x v="1"/>
    <x v="10"/>
    <x v="0"/>
    <x v="82"/>
    <x v="4"/>
    <x v="78"/>
    <x v="56"/>
    <x v="8"/>
    <x v="0"/>
    <x v="6"/>
    <x v="2"/>
    <x v="2"/>
    <x v="0"/>
  </r>
  <r>
    <x v="274"/>
    <x v="1"/>
    <x v="0"/>
    <x v="1"/>
    <x v="0"/>
    <x v="97"/>
    <x v="1"/>
    <x v="78"/>
    <x v="91"/>
    <x v="8"/>
    <x v="0"/>
    <x v="6"/>
    <x v="0"/>
    <x v="2"/>
    <x v="0"/>
  </r>
  <r>
    <x v="275"/>
    <x v="0"/>
    <x v="0"/>
    <x v="0"/>
    <x v="0"/>
    <x v="27"/>
    <x v="0"/>
    <x v="78"/>
    <x v="93"/>
    <x v="7"/>
    <x v="0"/>
    <x v="6"/>
    <x v="1"/>
    <x v="1"/>
    <x v="0"/>
  </r>
  <r>
    <x v="276"/>
    <x v="4"/>
    <x v="1"/>
    <x v="4"/>
    <x v="0"/>
    <x v="119"/>
    <x v="2"/>
    <x v="78"/>
    <x v="5"/>
    <x v="14"/>
    <x v="0"/>
    <x v="6"/>
    <x v="1"/>
    <x v="0"/>
    <x v="0"/>
  </r>
  <r>
    <x v="277"/>
    <x v="10"/>
    <x v="0"/>
    <x v="8"/>
    <x v="1"/>
    <x v="120"/>
    <x v="0"/>
    <x v="79"/>
    <x v="58"/>
    <x v="18"/>
    <x v="0"/>
    <x v="0"/>
    <x v="0"/>
    <x v="2"/>
    <x v="0"/>
  </r>
  <r>
    <x v="278"/>
    <x v="7"/>
    <x v="1"/>
    <x v="2"/>
    <x v="2"/>
    <x v="46"/>
    <x v="3"/>
    <x v="79"/>
    <x v="51"/>
    <x v="13"/>
    <x v="0"/>
    <x v="0"/>
    <x v="0"/>
    <x v="0"/>
    <x v="0"/>
  </r>
  <r>
    <x v="279"/>
    <x v="11"/>
    <x v="1"/>
    <x v="9"/>
    <x v="2"/>
    <x v="29"/>
    <x v="1"/>
    <x v="79"/>
    <x v="1"/>
    <x v="2"/>
    <x v="0"/>
    <x v="0"/>
    <x v="0"/>
    <x v="0"/>
    <x v="0"/>
  </r>
  <r>
    <x v="280"/>
    <x v="1"/>
    <x v="0"/>
    <x v="1"/>
    <x v="0"/>
    <x v="6"/>
    <x v="0"/>
    <x v="79"/>
    <x v="28"/>
    <x v="3"/>
    <x v="0"/>
    <x v="0"/>
    <x v="0"/>
    <x v="1"/>
    <x v="0"/>
  </r>
  <r>
    <x v="281"/>
    <x v="10"/>
    <x v="0"/>
    <x v="8"/>
    <x v="1"/>
    <x v="0"/>
    <x v="3"/>
    <x v="80"/>
    <x v="23"/>
    <x v="7"/>
    <x v="0"/>
    <x v="1"/>
    <x v="0"/>
    <x v="1"/>
    <x v="0"/>
  </r>
  <r>
    <x v="282"/>
    <x v="5"/>
    <x v="1"/>
    <x v="5"/>
    <x v="2"/>
    <x v="84"/>
    <x v="2"/>
    <x v="80"/>
    <x v="21"/>
    <x v="32"/>
    <x v="0"/>
    <x v="1"/>
    <x v="0"/>
    <x v="3"/>
    <x v="0"/>
  </r>
  <r>
    <x v="283"/>
    <x v="12"/>
    <x v="1"/>
    <x v="10"/>
    <x v="0"/>
    <x v="116"/>
    <x v="1"/>
    <x v="80"/>
    <x v="0"/>
    <x v="18"/>
    <x v="0"/>
    <x v="1"/>
    <x v="1"/>
    <x v="2"/>
    <x v="0"/>
  </r>
  <r>
    <x v="284"/>
    <x v="8"/>
    <x v="0"/>
    <x v="6"/>
    <x v="2"/>
    <x v="56"/>
    <x v="4"/>
    <x v="80"/>
    <x v="24"/>
    <x v="5"/>
    <x v="0"/>
    <x v="1"/>
    <x v="1"/>
    <x v="2"/>
    <x v="0"/>
  </r>
  <r>
    <x v="285"/>
    <x v="4"/>
    <x v="1"/>
    <x v="4"/>
    <x v="0"/>
    <x v="48"/>
    <x v="3"/>
    <x v="80"/>
    <x v="15"/>
    <x v="34"/>
    <x v="0"/>
    <x v="1"/>
    <x v="0"/>
    <x v="1"/>
    <x v="0"/>
  </r>
  <r>
    <x v="286"/>
    <x v="11"/>
    <x v="1"/>
    <x v="9"/>
    <x v="2"/>
    <x v="121"/>
    <x v="2"/>
    <x v="81"/>
    <x v="91"/>
    <x v="13"/>
    <x v="0"/>
    <x v="2"/>
    <x v="2"/>
    <x v="0"/>
    <x v="0"/>
  </r>
  <r>
    <x v="287"/>
    <x v="1"/>
    <x v="0"/>
    <x v="1"/>
    <x v="0"/>
    <x v="76"/>
    <x v="1"/>
    <x v="81"/>
    <x v="51"/>
    <x v="10"/>
    <x v="0"/>
    <x v="2"/>
    <x v="1"/>
    <x v="2"/>
    <x v="0"/>
  </r>
  <r>
    <x v="288"/>
    <x v="5"/>
    <x v="1"/>
    <x v="5"/>
    <x v="2"/>
    <x v="67"/>
    <x v="1"/>
    <x v="81"/>
    <x v="57"/>
    <x v="11"/>
    <x v="0"/>
    <x v="2"/>
    <x v="0"/>
    <x v="2"/>
    <x v="0"/>
  </r>
  <r>
    <x v="289"/>
    <x v="7"/>
    <x v="1"/>
    <x v="2"/>
    <x v="2"/>
    <x v="101"/>
    <x v="1"/>
    <x v="81"/>
    <x v="52"/>
    <x v="19"/>
    <x v="0"/>
    <x v="2"/>
    <x v="2"/>
    <x v="0"/>
    <x v="0"/>
  </r>
  <r>
    <x v="290"/>
    <x v="5"/>
    <x v="1"/>
    <x v="5"/>
    <x v="2"/>
    <x v="108"/>
    <x v="2"/>
    <x v="81"/>
    <x v="94"/>
    <x v="19"/>
    <x v="0"/>
    <x v="2"/>
    <x v="2"/>
    <x v="0"/>
    <x v="0"/>
  </r>
  <r>
    <x v="291"/>
    <x v="11"/>
    <x v="1"/>
    <x v="9"/>
    <x v="2"/>
    <x v="44"/>
    <x v="4"/>
    <x v="81"/>
    <x v="80"/>
    <x v="14"/>
    <x v="0"/>
    <x v="2"/>
    <x v="2"/>
    <x v="0"/>
    <x v="0"/>
  </r>
  <r>
    <x v="292"/>
    <x v="12"/>
    <x v="1"/>
    <x v="10"/>
    <x v="0"/>
    <x v="78"/>
    <x v="1"/>
    <x v="81"/>
    <x v="35"/>
    <x v="18"/>
    <x v="0"/>
    <x v="2"/>
    <x v="3"/>
    <x v="2"/>
    <x v="0"/>
  </r>
  <r>
    <x v="293"/>
    <x v="7"/>
    <x v="1"/>
    <x v="2"/>
    <x v="2"/>
    <x v="47"/>
    <x v="0"/>
    <x v="82"/>
    <x v="95"/>
    <x v="14"/>
    <x v="0"/>
    <x v="3"/>
    <x v="0"/>
    <x v="0"/>
    <x v="0"/>
  </r>
  <r>
    <x v="294"/>
    <x v="2"/>
    <x v="0"/>
    <x v="2"/>
    <x v="1"/>
    <x v="108"/>
    <x v="3"/>
    <x v="82"/>
    <x v="66"/>
    <x v="17"/>
    <x v="0"/>
    <x v="3"/>
    <x v="2"/>
    <x v="2"/>
    <x v="0"/>
  </r>
  <r>
    <x v="295"/>
    <x v="14"/>
    <x v="1"/>
    <x v="12"/>
    <x v="2"/>
    <x v="48"/>
    <x v="0"/>
    <x v="82"/>
    <x v="22"/>
    <x v="16"/>
    <x v="0"/>
    <x v="3"/>
    <x v="0"/>
    <x v="1"/>
    <x v="0"/>
  </r>
  <r>
    <x v="296"/>
    <x v="13"/>
    <x v="0"/>
    <x v="11"/>
    <x v="1"/>
    <x v="3"/>
    <x v="4"/>
    <x v="82"/>
    <x v="5"/>
    <x v="11"/>
    <x v="0"/>
    <x v="3"/>
    <x v="1"/>
    <x v="2"/>
    <x v="0"/>
  </r>
  <r>
    <x v="297"/>
    <x v="4"/>
    <x v="1"/>
    <x v="4"/>
    <x v="0"/>
    <x v="4"/>
    <x v="0"/>
    <x v="82"/>
    <x v="24"/>
    <x v="35"/>
    <x v="0"/>
    <x v="3"/>
    <x v="2"/>
    <x v="1"/>
    <x v="0"/>
  </r>
  <r>
    <x v="298"/>
    <x v="13"/>
    <x v="0"/>
    <x v="11"/>
    <x v="1"/>
    <x v="34"/>
    <x v="2"/>
    <x v="83"/>
    <x v="44"/>
    <x v="19"/>
    <x v="0"/>
    <x v="5"/>
    <x v="0"/>
    <x v="0"/>
    <x v="0"/>
  </r>
  <r>
    <x v="299"/>
    <x v="9"/>
    <x v="1"/>
    <x v="7"/>
    <x v="1"/>
    <x v="69"/>
    <x v="0"/>
    <x v="83"/>
    <x v="94"/>
    <x v="1"/>
    <x v="0"/>
    <x v="5"/>
    <x v="0"/>
    <x v="1"/>
    <x v="0"/>
  </r>
  <r>
    <x v="300"/>
    <x v="0"/>
    <x v="0"/>
    <x v="0"/>
    <x v="0"/>
    <x v="73"/>
    <x v="1"/>
    <x v="84"/>
    <x v="46"/>
    <x v="23"/>
    <x v="0"/>
    <x v="6"/>
    <x v="2"/>
    <x v="1"/>
    <x v="0"/>
  </r>
  <r>
    <x v="301"/>
    <x v="3"/>
    <x v="1"/>
    <x v="3"/>
    <x v="1"/>
    <x v="60"/>
    <x v="2"/>
    <x v="84"/>
    <x v="82"/>
    <x v="38"/>
    <x v="0"/>
    <x v="6"/>
    <x v="2"/>
    <x v="3"/>
    <x v="0"/>
  </r>
  <r>
    <x v="302"/>
    <x v="6"/>
    <x v="1"/>
    <x v="4"/>
    <x v="2"/>
    <x v="15"/>
    <x v="1"/>
    <x v="84"/>
    <x v="61"/>
    <x v="9"/>
    <x v="0"/>
    <x v="6"/>
    <x v="0"/>
    <x v="2"/>
    <x v="0"/>
  </r>
  <r>
    <x v="303"/>
    <x v="2"/>
    <x v="0"/>
    <x v="2"/>
    <x v="1"/>
    <x v="105"/>
    <x v="2"/>
    <x v="84"/>
    <x v="5"/>
    <x v="6"/>
    <x v="0"/>
    <x v="6"/>
    <x v="3"/>
    <x v="2"/>
    <x v="0"/>
  </r>
  <r>
    <x v="304"/>
    <x v="7"/>
    <x v="1"/>
    <x v="2"/>
    <x v="2"/>
    <x v="83"/>
    <x v="1"/>
    <x v="84"/>
    <x v="39"/>
    <x v="20"/>
    <x v="0"/>
    <x v="6"/>
    <x v="0"/>
    <x v="2"/>
    <x v="0"/>
  </r>
  <r>
    <x v="305"/>
    <x v="12"/>
    <x v="1"/>
    <x v="10"/>
    <x v="0"/>
    <x v="51"/>
    <x v="0"/>
    <x v="85"/>
    <x v="27"/>
    <x v="4"/>
    <x v="0"/>
    <x v="0"/>
    <x v="0"/>
    <x v="0"/>
    <x v="0"/>
  </r>
  <r>
    <x v="306"/>
    <x v="1"/>
    <x v="0"/>
    <x v="1"/>
    <x v="0"/>
    <x v="48"/>
    <x v="4"/>
    <x v="85"/>
    <x v="68"/>
    <x v="39"/>
    <x v="0"/>
    <x v="0"/>
    <x v="0"/>
    <x v="5"/>
    <x v="0"/>
  </r>
  <r>
    <x v="307"/>
    <x v="2"/>
    <x v="0"/>
    <x v="2"/>
    <x v="1"/>
    <x v="22"/>
    <x v="3"/>
    <x v="86"/>
    <x v="42"/>
    <x v="2"/>
    <x v="0"/>
    <x v="1"/>
    <x v="0"/>
    <x v="0"/>
    <x v="0"/>
  </r>
  <r>
    <x v="308"/>
    <x v="10"/>
    <x v="0"/>
    <x v="8"/>
    <x v="1"/>
    <x v="65"/>
    <x v="3"/>
    <x v="86"/>
    <x v="46"/>
    <x v="2"/>
    <x v="0"/>
    <x v="1"/>
    <x v="1"/>
    <x v="0"/>
    <x v="0"/>
  </r>
  <r>
    <x v="309"/>
    <x v="10"/>
    <x v="0"/>
    <x v="8"/>
    <x v="1"/>
    <x v="101"/>
    <x v="4"/>
    <x v="86"/>
    <x v="96"/>
    <x v="14"/>
    <x v="0"/>
    <x v="1"/>
    <x v="2"/>
    <x v="0"/>
    <x v="0"/>
  </r>
  <r>
    <x v="310"/>
    <x v="6"/>
    <x v="1"/>
    <x v="4"/>
    <x v="2"/>
    <x v="75"/>
    <x v="1"/>
    <x v="87"/>
    <x v="97"/>
    <x v="8"/>
    <x v="0"/>
    <x v="2"/>
    <x v="0"/>
    <x v="2"/>
    <x v="0"/>
  </r>
  <r>
    <x v="311"/>
    <x v="12"/>
    <x v="1"/>
    <x v="10"/>
    <x v="0"/>
    <x v="32"/>
    <x v="1"/>
    <x v="87"/>
    <x v="98"/>
    <x v="17"/>
    <x v="0"/>
    <x v="2"/>
    <x v="0"/>
    <x v="2"/>
    <x v="0"/>
  </r>
  <r>
    <x v="312"/>
    <x v="3"/>
    <x v="1"/>
    <x v="3"/>
    <x v="1"/>
    <x v="122"/>
    <x v="2"/>
    <x v="87"/>
    <x v="18"/>
    <x v="5"/>
    <x v="0"/>
    <x v="2"/>
    <x v="1"/>
    <x v="2"/>
    <x v="0"/>
  </r>
  <r>
    <x v="313"/>
    <x v="5"/>
    <x v="1"/>
    <x v="5"/>
    <x v="2"/>
    <x v="18"/>
    <x v="1"/>
    <x v="88"/>
    <x v="91"/>
    <x v="6"/>
    <x v="0"/>
    <x v="3"/>
    <x v="2"/>
    <x v="2"/>
    <x v="0"/>
  </r>
  <r>
    <x v="314"/>
    <x v="11"/>
    <x v="1"/>
    <x v="9"/>
    <x v="2"/>
    <x v="49"/>
    <x v="4"/>
    <x v="88"/>
    <x v="48"/>
    <x v="17"/>
    <x v="0"/>
    <x v="3"/>
    <x v="1"/>
    <x v="2"/>
    <x v="0"/>
  </r>
  <r>
    <x v="315"/>
    <x v="7"/>
    <x v="1"/>
    <x v="2"/>
    <x v="2"/>
    <x v="123"/>
    <x v="2"/>
    <x v="88"/>
    <x v="7"/>
    <x v="4"/>
    <x v="0"/>
    <x v="3"/>
    <x v="3"/>
    <x v="0"/>
    <x v="0"/>
  </r>
  <r>
    <x v="316"/>
    <x v="11"/>
    <x v="1"/>
    <x v="9"/>
    <x v="2"/>
    <x v="55"/>
    <x v="1"/>
    <x v="89"/>
    <x v="92"/>
    <x v="10"/>
    <x v="0"/>
    <x v="4"/>
    <x v="1"/>
    <x v="2"/>
    <x v="0"/>
  </r>
  <r>
    <x v="317"/>
    <x v="2"/>
    <x v="0"/>
    <x v="2"/>
    <x v="1"/>
    <x v="99"/>
    <x v="1"/>
    <x v="89"/>
    <x v="99"/>
    <x v="11"/>
    <x v="0"/>
    <x v="4"/>
    <x v="0"/>
    <x v="2"/>
    <x v="0"/>
  </r>
  <r>
    <x v="318"/>
    <x v="10"/>
    <x v="0"/>
    <x v="8"/>
    <x v="1"/>
    <x v="73"/>
    <x v="0"/>
    <x v="89"/>
    <x v="93"/>
    <x v="10"/>
    <x v="0"/>
    <x v="4"/>
    <x v="2"/>
    <x v="2"/>
    <x v="0"/>
  </r>
  <r>
    <x v="319"/>
    <x v="10"/>
    <x v="0"/>
    <x v="8"/>
    <x v="1"/>
    <x v="119"/>
    <x v="4"/>
    <x v="89"/>
    <x v="62"/>
    <x v="17"/>
    <x v="0"/>
    <x v="4"/>
    <x v="1"/>
    <x v="2"/>
    <x v="0"/>
  </r>
  <r>
    <x v="320"/>
    <x v="9"/>
    <x v="1"/>
    <x v="7"/>
    <x v="1"/>
    <x v="50"/>
    <x v="4"/>
    <x v="90"/>
    <x v="73"/>
    <x v="30"/>
    <x v="0"/>
    <x v="5"/>
    <x v="0"/>
    <x v="3"/>
    <x v="0"/>
  </r>
  <r>
    <x v="321"/>
    <x v="13"/>
    <x v="0"/>
    <x v="11"/>
    <x v="1"/>
    <x v="95"/>
    <x v="4"/>
    <x v="90"/>
    <x v="74"/>
    <x v="13"/>
    <x v="0"/>
    <x v="5"/>
    <x v="0"/>
    <x v="0"/>
    <x v="0"/>
  </r>
  <r>
    <x v="322"/>
    <x v="13"/>
    <x v="0"/>
    <x v="11"/>
    <x v="1"/>
    <x v="124"/>
    <x v="0"/>
    <x v="90"/>
    <x v="13"/>
    <x v="11"/>
    <x v="0"/>
    <x v="5"/>
    <x v="1"/>
    <x v="2"/>
    <x v="0"/>
  </r>
  <r>
    <x v="323"/>
    <x v="5"/>
    <x v="1"/>
    <x v="5"/>
    <x v="2"/>
    <x v="125"/>
    <x v="1"/>
    <x v="90"/>
    <x v="1"/>
    <x v="19"/>
    <x v="0"/>
    <x v="5"/>
    <x v="2"/>
    <x v="0"/>
    <x v="0"/>
  </r>
  <r>
    <x v="324"/>
    <x v="11"/>
    <x v="1"/>
    <x v="9"/>
    <x v="2"/>
    <x v="33"/>
    <x v="1"/>
    <x v="90"/>
    <x v="17"/>
    <x v="9"/>
    <x v="0"/>
    <x v="5"/>
    <x v="0"/>
    <x v="2"/>
    <x v="0"/>
  </r>
  <r>
    <x v="325"/>
    <x v="1"/>
    <x v="0"/>
    <x v="1"/>
    <x v="0"/>
    <x v="29"/>
    <x v="1"/>
    <x v="90"/>
    <x v="59"/>
    <x v="3"/>
    <x v="0"/>
    <x v="5"/>
    <x v="0"/>
    <x v="1"/>
    <x v="0"/>
  </r>
  <r>
    <x v="326"/>
    <x v="14"/>
    <x v="1"/>
    <x v="12"/>
    <x v="2"/>
    <x v="95"/>
    <x v="3"/>
    <x v="90"/>
    <x v="28"/>
    <x v="5"/>
    <x v="0"/>
    <x v="5"/>
    <x v="0"/>
    <x v="2"/>
    <x v="0"/>
  </r>
  <r>
    <x v="327"/>
    <x v="9"/>
    <x v="1"/>
    <x v="7"/>
    <x v="1"/>
    <x v="123"/>
    <x v="4"/>
    <x v="90"/>
    <x v="83"/>
    <x v="21"/>
    <x v="0"/>
    <x v="5"/>
    <x v="3"/>
    <x v="3"/>
    <x v="0"/>
  </r>
  <r>
    <x v="328"/>
    <x v="6"/>
    <x v="1"/>
    <x v="4"/>
    <x v="2"/>
    <x v="38"/>
    <x v="2"/>
    <x v="90"/>
    <x v="84"/>
    <x v="9"/>
    <x v="0"/>
    <x v="5"/>
    <x v="0"/>
    <x v="2"/>
    <x v="0"/>
  </r>
  <r>
    <x v="329"/>
    <x v="13"/>
    <x v="0"/>
    <x v="11"/>
    <x v="1"/>
    <x v="48"/>
    <x v="3"/>
    <x v="91"/>
    <x v="26"/>
    <x v="5"/>
    <x v="0"/>
    <x v="6"/>
    <x v="0"/>
    <x v="2"/>
    <x v="0"/>
  </r>
  <r>
    <x v="330"/>
    <x v="4"/>
    <x v="1"/>
    <x v="4"/>
    <x v="0"/>
    <x v="4"/>
    <x v="0"/>
    <x v="91"/>
    <x v="60"/>
    <x v="1"/>
    <x v="0"/>
    <x v="6"/>
    <x v="2"/>
    <x v="1"/>
    <x v="0"/>
  </r>
  <r>
    <x v="331"/>
    <x v="12"/>
    <x v="1"/>
    <x v="10"/>
    <x v="0"/>
    <x v="126"/>
    <x v="4"/>
    <x v="91"/>
    <x v="88"/>
    <x v="4"/>
    <x v="0"/>
    <x v="6"/>
    <x v="4"/>
    <x v="0"/>
    <x v="0"/>
  </r>
  <r>
    <x v="332"/>
    <x v="13"/>
    <x v="0"/>
    <x v="11"/>
    <x v="1"/>
    <x v="43"/>
    <x v="0"/>
    <x v="91"/>
    <x v="18"/>
    <x v="20"/>
    <x v="0"/>
    <x v="6"/>
    <x v="1"/>
    <x v="2"/>
    <x v="0"/>
  </r>
  <r>
    <x v="333"/>
    <x v="2"/>
    <x v="0"/>
    <x v="2"/>
    <x v="1"/>
    <x v="33"/>
    <x v="1"/>
    <x v="91"/>
    <x v="37"/>
    <x v="4"/>
    <x v="0"/>
    <x v="6"/>
    <x v="0"/>
    <x v="0"/>
    <x v="0"/>
  </r>
  <r>
    <x v="334"/>
    <x v="9"/>
    <x v="1"/>
    <x v="7"/>
    <x v="1"/>
    <x v="113"/>
    <x v="3"/>
    <x v="91"/>
    <x v="21"/>
    <x v="23"/>
    <x v="0"/>
    <x v="6"/>
    <x v="0"/>
    <x v="1"/>
    <x v="0"/>
  </r>
  <r>
    <x v="335"/>
    <x v="2"/>
    <x v="0"/>
    <x v="2"/>
    <x v="1"/>
    <x v="42"/>
    <x v="1"/>
    <x v="92"/>
    <x v="31"/>
    <x v="0"/>
    <x v="0"/>
    <x v="0"/>
    <x v="0"/>
    <x v="0"/>
    <x v="0"/>
  </r>
  <r>
    <x v="336"/>
    <x v="11"/>
    <x v="1"/>
    <x v="9"/>
    <x v="2"/>
    <x v="123"/>
    <x v="1"/>
    <x v="92"/>
    <x v="33"/>
    <x v="30"/>
    <x v="0"/>
    <x v="0"/>
    <x v="3"/>
    <x v="3"/>
    <x v="0"/>
  </r>
  <r>
    <x v="337"/>
    <x v="1"/>
    <x v="0"/>
    <x v="1"/>
    <x v="0"/>
    <x v="53"/>
    <x v="1"/>
    <x v="92"/>
    <x v="32"/>
    <x v="13"/>
    <x v="0"/>
    <x v="0"/>
    <x v="0"/>
    <x v="0"/>
    <x v="0"/>
  </r>
  <r>
    <x v="338"/>
    <x v="10"/>
    <x v="0"/>
    <x v="8"/>
    <x v="1"/>
    <x v="90"/>
    <x v="1"/>
    <x v="92"/>
    <x v="24"/>
    <x v="16"/>
    <x v="0"/>
    <x v="0"/>
    <x v="0"/>
    <x v="1"/>
    <x v="0"/>
  </r>
  <r>
    <x v="339"/>
    <x v="8"/>
    <x v="0"/>
    <x v="6"/>
    <x v="2"/>
    <x v="68"/>
    <x v="0"/>
    <x v="92"/>
    <x v="32"/>
    <x v="20"/>
    <x v="0"/>
    <x v="0"/>
    <x v="2"/>
    <x v="2"/>
    <x v="0"/>
  </r>
  <r>
    <x v="340"/>
    <x v="2"/>
    <x v="0"/>
    <x v="2"/>
    <x v="1"/>
    <x v="71"/>
    <x v="3"/>
    <x v="92"/>
    <x v="79"/>
    <x v="20"/>
    <x v="0"/>
    <x v="0"/>
    <x v="2"/>
    <x v="2"/>
    <x v="0"/>
  </r>
  <r>
    <x v="341"/>
    <x v="6"/>
    <x v="1"/>
    <x v="4"/>
    <x v="2"/>
    <x v="38"/>
    <x v="3"/>
    <x v="93"/>
    <x v="12"/>
    <x v="6"/>
    <x v="0"/>
    <x v="1"/>
    <x v="0"/>
    <x v="2"/>
    <x v="0"/>
  </r>
  <r>
    <x v="342"/>
    <x v="8"/>
    <x v="0"/>
    <x v="6"/>
    <x v="2"/>
    <x v="0"/>
    <x v="1"/>
    <x v="93"/>
    <x v="3"/>
    <x v="2"/>
    <x v="0"/>
    <x v="1"/>
    <x v="0"/>
    <x v="0"/>
    <x v="0"/>
  </r>
  <r>
    <x v="343"/>
    <x v="11"/>
    <x v="1"/>
    <x v="9"/>
    <x v="2"/>
    <x v="15"/>
    <x v="3"/>
    <x v="93"/>
    <x v="28"/>
    <x v="22"/>
    <x v="0"/>
    <x v="1"/>
    <x v="0"/>
    <x v="1"/>
    <x v="0"/>
  </r>
  <r>
    <x v="344"/>
    <x v="6"/>
    <x v="1"/>
    <x v="4"/>
    <x v="2"/>
    <x v="5"/>
    <x v="3"/>
    <x v="94"/>
    <x v="100"/>
    <x v="16"/>
    <x v="0"/>
    <x v="2"/>
    <x v="0"/>
    <x v="1"/>
    <x v="0"/>
  </r>
  <r>
    <x v="345"/>
    <x v="12"/>
    <x v="1"/>
    <x v="10"/>
    <x v="0"/>
    <x v="127"/>
    <x v="3"/>
    <x v="94"/>
    <x v="28"/>
    <x v="14"/>
    <x v="0"/>
    <x v="2"/>
    <x v="1"/>
    <x v="0"/>
    <x v="0"/>
  </r>
  <r>
    <x v="346"/>
    <x v="5"/>
    <x v="1"/>
    <x v="5"/>
    <x v="2"/>
    <x v="128"/>
    <x v="0"/>
    <x v="94"/>
    <x v="75"/>
    <x v="10"/>
    <x v="0"/>
    <x v="2"/>
    <x v="3"/>
    <x v="2"/>
    <x v="0"/>
  </r>
  <r>
    <x v="347"/>
    <x v="12"/>
    <x v="1"/>
    <x v="10"/>
    <x v="0"/>
    <x v="93"/>
    <x v="4"/>
    <x v="95"/>
    <x v="50"/>
    <x v="0"/>
    <x v="0"/>
    <x v="3"/>
    <x v="2"/>
    <x v="0"/>
    <x v="0"/>
  </r>
  <r>
    <x v="348"/>
    <x v="12"/>
    <x v="1"/>
    <x v="10"/>
    <x v="0"/>
    <x v="34"/>
    <x v="0"/>
    <x v="95"/>
    <x v="70"/>
    <x v="4"/>
    <x v="0"/>
    <x v="3"/>
    <x v="0"/>
    <x v="0"/>
    <x v="0"/>
  </r>
  <r>
    <x v="349"/>
    <x v="3"/>
    <x v="1"/>
    <x v="3"/>
    <x v="1"/>
    <x v="21"/>
    <x v="1"/>
    <x v="96"/>
    <x v="82"/>
    <x v="6"/>
    <x v="0"/>
    <x v="4"/>
    <x v="0"/>
    <x v="2"/>
    <x v="0"/>
  </r>
  <r>
    <x v="350"/>
    <x v="11"/>
    <x v="1"/>
    <x v="9"/>
    <x v="2"/>
    <x v="54"/>
    <x v="1"/>
    <x v="96"/>
    <x v="7"/>
    <x v="8"/>
    <x v="0"/>
    <x v="4"/>
    <x v="2"/>
    <x v="2"/>
    <x v="0"/>
  </r>
  <r>
    <x v="351"/>
    <x v="4"/>
    <x v="1"/>
    <x v="4"/>
    <x v="0"/>
    <x v="11"/>
    <x v="1"/>
    <x v="96"/>
    <x v="3"/>
    <x v="11"/>
    <x v="0"/>
    <x v="4"/>
    <x v="0"/>
    <x v="2"/>
    <x v="0"/>
  </r>
  <r>
    <x v="352"/>
    <x v="7"/>
    <x v="1"/>
    <x v="2"/>
    <x v="2"/>
    <x v="59"/>
    <x v="3"/>
    <x v="97"/>
    <x v="41"/>
    <x v="5"/>
    <x v="0"/>
    <x v="5"/>
    <x v="0"/>
    <x v="2"/>
    <x v="0"/>
  </r>
  <r>
    <x v="353"/>
    <x v="10"/>
    <x v="0"/>
    <x v="8"/>
    <x v="1"/>
    <x v="19"/>
    <x v="3"/>
    <x v="97"/>
    <x v="56"/>
    <x v="35"/>
    <x v="0"/>
    <x v="5"/>
    <x v="0"/>
    <x v="1"/>
    <x v="0"/>
  </r>
  <r>
    <x v="354"/>
    <x v="2"/>
    <x v="0"/>
    <x v="2"/>
    <x v="1"/>
    <x v="129"/>
    <x v="1"/>
    <x v="97"/>
    <x v="59"/>
    <x v="14"/>
    <x v="0"/>
    <x v="5"/>
    <x v="0"/>
    <x v="0"/>
    <x v="0"/>
  </r>
  <r>
    <x v="355"/>
    <x v="14"/>
    <x v="1"/>
    <x v="12"/>
    <x v="2"/>
    <x v="19"/>
    <x v="1"/>
    <x v="98"/>
    <x v="60"/>
    <x v="14"/>
    <x v="0"/>
    <x v="6"/>
    <x v="0"/>
    <x v="0"/>
    <x v="0"/>
  </r>
  <r>
    <x v="356"/>
    <x v="7"/>
    <x v="1"/>
    <x v="2"/>
    <x v="2"/>
    <x v="12"/>
    <x v="0"/>
    <x v="98"/>
    <x v="74"/>
    <x v="9"/>
    <x v="0"/>
    <x v="6"/>
    <x v="1"/>
    <x v="2"/>
    <x v="0"/>
  </r>
  <r>
    <x v="357"/>
    <x v="14"/>
    <x v="1"/>
    <x v="12"/>
    <x v="2"/>
    <x v="9"/>
    <x v="0"/>
    <x v="98"/>
    <x v="5"/>
    <x v="11"/>
    <x v="0"/>
    <x v="6"/>
    <x v="0"/>
    <x v="2"/>
    <x v="0"/>
  </r>
  <r>
    <x v="358"/>
    <x v="13"/>
    <x v="0"/>
    <x v="11"/>
    <x v="1"/>
    <x v="130"/>
    <x v="2"/>
    <x v="98"/>
    <x v="30"/>
    <x v="16"/>
    <x v="0"/>
    <x v="6"/>
    <x v="0"/>
    <x v="1"/>
    <x v="0"/>
  </r>
  <r>
    <x v="359"/>
    <x v="5"/>
    <x v="1"/>
    <x v="5"/>
    <x v="2"/>
    <x v="131"/>
    <x v="1"/>
    <x v="98"/>
    <x v="80"/>
    <x v="12"/>
    <x v="0"/>
    <x v="6"/>
    <x v="0"/>
    <x v="2"/>
    <x v="0"/>
  </r>
  <r>
    <x v="360"/>
    <x v="9"/>
    <x v="1"/>
    <x v="7"/>
    <x v="1"/>
    <x v="106"/>
    <x v="0"/>
    <x v="98"/>
    <x v="86"/>
    <x v="18"/>
    <x v="0"/>
    <x v="6"/>
    <x v="0"/>
    <x v="2"/>
    <x v="0"/>
  </r>
  <r>
    <x v="361"/>
    <x v="10"/>
    <x v="0"/>
    <x v="8"/>
    <x v="1"/>
    <x v="71"/>
    <x v="2"/>
    <x v="98"/>
    <x v="46"/>
    <x v="12"/>
    <x v="0"/>
    <x v="6"/>
    <x v="2"/>
    <x v="2"/>
    <x v="0"/>
  </r>
  <r>
    <x v="362"/>
    <x v="13"/>
    <x v="0"/>
    <x v="11"/>
    <x v="1"/>
    <x v="132"/>
    <x v="4"/>
    <x v="98"/>
    <x v="8"/>
    <x v="19"/>
    <x v="0"/>
    <x v="6"/>
    <x v="3"/>
    <x v="0"/>
    <x v="0"/>
  </r>
  <r>
    <x v="363"/>
    <x v="10"/>
    <x v="0"/>
    <x v="8"/>
    <x v="1"/>
    <x v="3"/>
    <x v="4"/>
    <x v="98"/>
    <x v="21"/>
    <x v="35"/>
    <x v="0"/>
    <x v="6"/>
    <x v="1"/>
    <x v="1"/>
    <x v="0"/>
  </r>
  <r>
    <x v="364"/>
    <x v="11"/>
    <x v="1"/>
    <x v="9"/>
    <x v="2"/>
    <x v="64"/>
    <x v="2"/>
    <x v="99"/>
    <x v="47"/>
    <x v="34"/>
    <x v="0"/>
    <x v="0"/>
    <x v="2"/>
    <x v="1"/>
    <x v="0"/>
  </r>
  <r>
    <x v="365"/>
    <x v="13"/>
    <x v="0"/>
    <x v="11"/>
    <x v="1"/>
    <x v="103"/>
    <x v="4"/>
    <x v="99"/>
    <x v="84"/>
    <x v="22"/>
    <x v="0"/>
    <x v="0"/>
    <x v="2"/>
    <x v="1"/>
    <x v="0"/>
  </r>
  <r>
    <x v="366"/>
    <x v="8"/>
    <x v="0"/>
    <x v="6"/>
    <x v="2"/>
    <x v="4"/>
    <x v="4"/>
    <x v="99"/>
    <x v="14"/>
    <x v="27"/>
    <x v="0"/>
    <x v="0"/>
    <x v="2"/>
    <x v="1"/>
    <x v="0"/>
  </r>
  <r>
    <x v="367"/>
    <x v="1"/>
    <x v="0"/>
    <x v="1"/>
    <x v="0"/>
    <x v="98"/>
    <x v="3"/>
    <x v="99"/>
    <x v="61"/>
    <x v="19"/>
    <x v="0"/>
    <x v="0"/>
    <x v="3"/>
    <x v="0"/>
    <x v="0"/>
  </r>
  <r>
    <x v="368"/>
    <x v="12"/>
    <x v="1"/>
    <x v="10"/>
    <x v="0"/>
    <x v="122"/>
    <x v="2"/>
    <x v="99"/>
    <x v="62"/>
    <x v="9"/>
    <x v="0"/>
    <x v="0"/>
    <x v="1"/>
    <x v="2"/>
    <x v="0"/>
  </r>
  <r>
    <x v="369"/>
    <x v="0"/>
    <x v="0"/>
    <x v="0"/>
    <x v="0"/>
    <x v="10"/>
    <x v="1"/>
    <x v="99"/>
    <x v="101"/>
    <x v="14"/>
    <x v="0"/>
    <x v="0"/>
    <x v="1"/>
    <x v="0"/>
    <x v="0"/>
  </r>
  <r>
    <x v="370"/>
    <x v="7"/>
    <x v="1"/>
    <x v="2"/>
    <x v="2"/>
    <x v="53"/>
    <x v="2"/>
    <x v="99"/>
    <x v="58"/>
    <x v="29"/>
    <x v="0"/>
    <x v="0"/>
    <x v="0"/>
    <x v="3"/>
    <x v="0"/>
  </r>
  <r>
    <x v="371"/>
    <x v="6"/>
    <x v="1"/>
    <x v="4"/>
    <x v="2"/>
    <x v="50"/>
    <x v="3"/>
    <x v="100"/>
    <x v="65"/>
    <x v="27"/>
    <x v="0"/>
    <x v="1"/>
    <x v="0"/>
    <x v="1"/>
    <x v="0"/>
  </r>
  <r>
    <x v="372"/>
    <x v="14"/>
    <x v="1"/>
    <x v="12"/>
    <x v="2"/>
    <x v="90"/>
    <x v="0"/>
    <x v="100"/>
    <x v="66"/>
    <x v="12"/>
    <x v="0"/>
    <x v="1"/>
    <x v="0"/>
    <x v="2"/>
    <x v="0"/>
  </r>
  <r>
    <x v="373"/>
    <x v="2"/>
    <x v="0"/>
    <x v="2"/>
    <x v="1"/>
    <x v="28"/>
    <x v="4"/>
    <x v="100"/>
    <x v="56"/>
    <x v="5"/>
    <x v="0"/>
    <x v="1"/>
    <x v="0"/>
    <x v="2"/>
    <x v="0"/>
  </r>
  <r>
    <x v="374"/>
    <x v="14"/>
    <x v="1"/>
    <x v="12"/>
    <x v="2"/>
    <x v="133"/>
    <x v="1"/>
    <x v="100"/>
    <x v="12"/>
    <x v="12"/>
    <x v="0"/>
    <x v="1"/>
    <x v="1"/>
    <x v="2"/>
    <x v="0"/>
  </r>
  <r>
    <x v="375"/>
    <x v="11"/>
    <x v="1"/>
    <x v="9"/>
    <x v="2"/>
    <x v="118"/>
    <x v="1"/>
    <x v="100"/>
    <x v="6"/>
    <x v="14"/>
    <x v="0"/>
    <x v="1"/>
    <x v="1"/>
    <x v="0"/>
    <x v="0"/>
  </r>
  <r>
    <x v="376"/>
    <x v="2"/>
    <x v="0"/>
    <x v="2"/>
    <x v="1"/>
    <x v="117"/>
    <x v="0"/>
    <x v="101"/>
    <x v="91"/>
    <x v="18"/>
    <x v="0"/>
    <x v="2"/>
    <x v="0"/>
    <x v="2"/>
    <x v="0"/>
  </r>
  <r>
    <x v="377"/>
    <x v="7"/>
    <x v="1"/>
    <x v="2"/>
    <x v="2"/>
    <x v="91"/>
    <x v="0"/>
    <x v="101"/>
    <x v="75"/>
    <x v="10"/>
    <x v="0"/>
    <x v="2"/>
    <x v="4"/>
    <x v="2"/>
    <x v="0"/>
  </r>
  <r>
    <x v="378"/>
    <x v="9"/>
    <x v="1"/>
    <x v="7"/>
    <x v="1"/>
    <x v="53"/>
    <x v="2"/>
    <x v="102"/>
    <x v="37"/>
    <x v="6"/>
    <x v="0"/>
    <x v="3"/>
    <x v="0"/>
    <x v="2"/>
    <x v="0"/>
  </r>
  <r>
    <x v="379"/>
    <x v="13"/>
    <x v="0"/>
    <x v="11"/>
    <x v="1"/>
    <x v="99"/>
    <x v="2"/>
    <x v="102"/>
    <x v="47"/>
    <x v="11"/>
    <x v="0"/>
    <x v="3"/>
    <x v="0"/>
    <x v="2"/>
    <x v="0"/>
  </r>
  <r>
    <x v="380"/>
    <x v="1"/>
    <x v="0"/>
    <x v="1"/>
    <x v="0"/>
    <x v="31"/>
    <x v="1"/>
    <x v="102"/>
    <x v="51"/>
    <x v="0"/>
    <x v="0"/>
    <x v="3"/>
    <x v="0"/>
    <x v="0"/>
    <x v="0"/>
  </r>
  <r>
    <x v="381"/>
    <x v="0"/>
    <x v="0"/>
    <x v="0"/>
    <x v="0"/>
    <x v="134"/>
    <x v="4"/>
    <x v="102"/>
    <x v="30"/>
    <x v="9"/>
    <x v="0"/>
    <x v="3"/>
    <x v="0"/>
    <x v="2"/>
    <x v="0"/>
  </r>
  <r>
    <x v="382"/>
    <x v="4"/>
    <x v="1"/>
    <x v="4"/>
    <x v="0"/>
    <x v="68"/>
    <x v="2"/>
    <x v="102"/>
    <x v="59"/>
    <x v="17"/>
    <x v="0"/>
    <x v="3"/>
    <x v="2"/>
    <x v="2"/>
    <x v="0"/>
  </r>
  <r>
    <x v="383"/>
    <x v="3"/>
    <x v="1"/>
    <x v="3"/>
    <x v="1"/>
    <x v="73"/>
    <x v="4"/>
    <x v="102"/>
    <x v="59"/>
    <x v="4"/>
    <x v="0"/>
    <x v="3"/>
    <x v="2"/>
    <x v="0"/>
    <x v="0"/>
  </r>
  <r>
    <x v="384"/>
    <x v="10"/>
    <x v="0"/>
    <x v="8"/>
    <x v="1"/>
    <x v="90"/>
    <x v="1"/>
    <x v="102"/>
    <x v="16"/>
    <x v="24"/>
    <x v="0"/>
    <x v="3"/>
    <x v="0"/>
    <x v="3"/>
    <x v="0"/>
  </r>
  <r>
    <x v="385"/>
    <x v="14"/>
    <x v="1"/>
    <x v="12"/>
    <x v="2"/>
    <x v="63"/>
    <x v="2"/>
    <x v="102"/>
    <x v="56"/>
    <x v="5"/>
    <x v="0"/>
    <x v="3"/>
    <x v="0"/>
    <x v="2"/>
    <x v="0"/>
  </r>
  <r>
    <x v="386"/>
    <x v="6"/>
    <x v="1"/>
    <x v="4"/>
    <x v="2"/>
    <x v="117"/>
    <x v="2"/>
    <x v="103"/>
    <x v="56"/>
    <x v="11"/>
    <x v="0"/>
    <x v="4"/>
    <x v="0"/>
    <x v="2"/>
    <x v="0"/>
  </r>
  <r>
    <x v="387"/>
    <x v="11"/>
    <x v="1"/>
    <x v="9"/>
    <x v="2"/>
    <x v="0"/>
    <x v="2"/>
    <x v="103"/>
    <x v="32"/>
    <x v="13"/>
    <x v="0"/>
    <x v="4"/>
    <x v="0"/>
    <x v="0"/>
    <x v="0"/>
  </r>
  <r>
    <x v="388"/>
    <x v="1"/>
    <x v="0"/>
    <x v="1"/>
    <x v="0"/>
    <x v="25"/>
    <x v="0"/>
    <x v="104"/>
    <x v="89"/>
    <x v="16"/>
    <x v="0"/>
    <x v="5"/>
    <x v="0"/>
    <x v="1"/>
    <x v="0"/>
  </r>
  <r>
    <x v="389"/>
    <x v="14"/>
    <x v="1"/>
    <x v="12"/>
    <x v="2"/>
    <x v="15"/>
    <x v="1"/>
    <x v="104"/>
    <x v="43"/>
    <x v="13"/>
    <x v="0"/>
    <x v="5"/>
    <x v="0"/>
    <x v="0"/>
    <x v="0"/>
  </r>
  <r>
    <x v="390"/>
    <x v="14"/>
    <x v="1"/>
    <x v="12"/>
    <x v="2"/>
    <x v="71"/>
    <x v="0"/>
    <x v="104"/>
    <x v="70"/>
    <x v="24"/>
    <x v="0"/>
    <x v="5"/>
    <x v="2"/>
    <x v="3"/>
    <x v="0"/>
  </r>
  <r>
    <x v="391"/>
    <x v="10"/>
    <x v="0"/>
    <x v="8"/>
    <x v="1"/>
    <x v="84"/>
    <x v="4"/>
    <x v="104"/>
    <x v="100"/>
    <x v="4"/>
    <x v="0"/>
    <x v="5"/>
    <x v="0"/>
    <x v="0"/>
    <x v="0"/>
  </r>
  <r>
    <x v="392"/>
    <x v="11"/>
    <x v="1"/>
    <x v="9"/>
    <x v="2"/>
    <x v="125"/>
    <x v="3"/>
    <x v="104"/>
    <x v="91"/>
    <x v="20"/>
    <x v="0"/>
    <x v="5"/>
    <x v="2"/>
    <x v="2"/>
    <x v="0"/>
  </r>
  <r>
    <x v="393"/>
    <x v="1"/>
    <x v="0"/>
    <x v="1"/>
    <x v="0"/>
    <x v="114"/>
    <x v="2"/>
    <x v="104"/>
    <x v="31"/>
    <x v="18"/>
    <x v="0"/>
    <x v="5"/>
    <x v="1"/>
    <x v="2"/>
    <x v="0"/>
  </r>
  <r>
    <x v="394"/>
    <x v="8"/>
    <x v="0"/>
    <x v="6"/>
    <x v="2"/>
    <x v="135"/>
    <x v="4"/>
    <x v="104"/>
    <x v="61"/>
    <x v="4"/>
    <x v="0"/>
    <x v="5"/>
    <x v="3"/>
    <x v="0"/>
    <x v="0"/>
  </r>
  <r>
    <x v="395"/>
    <x v="1"/>
    <x v="0"/>
    <x v="1"/>
    <x v="0"/>
    <x v="62"/>
    <x v="2"/>
    <x v="105"/>
    <x v="0"/>
    <x v="2"/>
    <x v="0"/>
    <x v="6"/>
    <x v="2"/>
    <x v="0"/>
    <x v="0"/>
  </r>
  <r>
    <x v="396"/>
    <x v="3"/>
    <x v="1"/>
    <x v="3"/>
    <x v="1"/>
    <x v="48"/>
    <x v="1"/>
    <x v="105"/>
    <x v="65"/>
    <x v="10"/>
    <x v="0"/>
    <x v="6"/>
    <x v="0"/>
    <x v="2"/>
    <x v="0"/>
  </r>
  <r>
    <x v="397"/>
    <x v="14"/>
    <x v="1"/>
    <x v="12"/>
    <x v="2"/>
    <x v="93"/>
    <x v="2"/>
    <x v="105"/>
    <x v="27"/>
    <x v="12"/>
    <x v="0"/>
    <x v="6"/>
    <x v="2"/>
    <x v="2"/>
    <x v="0"/>
  </r>
  <r>
    <x v="398"/>
    <x v="1"/>
    <x v="0"/>
    <x v="1"/>
    <x v="0"/>
    <x v="97"/>
    <x v="2"/>
    <x v="105"/>
    <x v="98"/>
    <x v="9"/>
    <x v="0"/>
    <x v="6"/>
    <x v="0"/>
    <x v="2"/>
    <x v="0"/>
  </r>
  <r>
    <x v="399"/>
    <x v="14"/>
    <x v="1"/>
    <x v="12"/>
    <x v="2"/>
    <x v="34"/>
    <x v="3"/>
    <x v="105"/>
    <x v="86"/>
    <x v="9"/>
    <x v="0"/>
    <x v="6"/>
    <x v="0"/>
    <x v="2"/>
    <x v="0"/>
  </r>
  <r>
    <x v="400"/>
    <x v="6"/>
    <x v="1"/>
    <x v="4"/>
    <x v="2"/>
    <x v="5"/>
    <x v="0"/>
    <x v="105"/>
    <x v="47"/>
    <x v="23"/>
    <x v="0"/>
    <x v="6"/>
    <x v="0"/>
    <x v="1"/>
    <x v="0"/>
  </r>
  <r>
    <x v="401"/>
    <x v="8"/>
    <x v="0"/>
    <x v="6"/>
    <x v="2"/>
    <x v="49"/>
    <x v="2"/>
    <x v="106"/>
    <x v="31"/>
    <x v="11"/>
    <x v="0"/>
    <x v="0"/>
    <x v="1"/>
    <x v="2"/>
    <x v="0"/>
  </r>
  <r>
    <x v="402"/>
    <x v="3"/>
    <x v="1"/>
    <x v="3"/>
    <x v="1"/>
    <x v="136"/>
    <x v="3"/>
    <x v="106"/>
    <x v="53"/>
    <x v="7"/>
    <x v="0"/>
    <x v="0"/>
    <x v="1"/>
    <x v="1"/>
    <x v="0"/>
  </r>
  <r>
    <x v="403"/>
    <x v="9"/>
    <x v="1"/>
    <x v="7"/>
    <x v="1"/>
    <x v="76"/>
    <x v="2"/>
    <x v="106"/>
    <x v="42"/>
    <x v="23"/>
    <x v="0"/>
    <x v="0"/>
    <x v="1"/>
    <x v="1"/>
    <x v="0"/>
  </r>
  <r>
    <x v="404"/>
    <x v="1"/>
    <x v="0"/>
    <x v="1"/>
    <x v="0"/>
    <x v="54"/>
    <x v="2"/>
    <x v="106"/>
    <x v="36"/>
    <x v="2"/>
    <x v="0"/>
    <x v="0"/>
    <x v="2"/>
    <x v="0"/>
    <x v="0"/>
  </r>
  <r>
    <x v="405"/>
    <x v="5"/>
    <x v="1"/>
    <x v="5"/>
    <x v="2"/>
    <x v="117"/>
    <x v="4"/>
    <x v="106"/>
    <x v="18"/>
    <x v="9"/>
    <x v="0"/>
    <x v="0"/>
    <x v="0"/>
    <x v="2"/>
    <x v="0"/>
  </r>
  <r>
    <x v="406"/>
    <x v="1"/>
    <x v="0"/>
    <x v="1"/>
    <x v="0"/>
    <x v="12"/>
    <x v="1"/>
    <x v="107"/>
    <x v="91"/>
    <x v="4"/>
    <x v="0"/>
    <x v="1"/>
    <x v="1"/>
    <x v="0"/>
    <x v="0"/>
  </r>
  <r>
    <x v="407"/>
    <x v="3"/>
    <x v="1"/>
    <x v="3"/>
    <x v="1"/>
    <x v="75"/>
    <x v="2"/>
    <x v="107"/>
    <x v="89"/>
    <x v="10"/>
    <x v="0"/>
    <x v="1"/>
    <x v="0"/>
    <x v="2"/>
    <x v="0"/>
  </r>
  <r>
    <x v="408"/>
    <x v="2"/>
    <x v="0"/>
    <x v="2"/>
    <x v="1"/>
    <x v="86"/>
    <x v="1"/>
    <x v="107"/>
    <x v="22"/>
    <x v="12"/>
    <x v="0"/>
    <x v="1"/>
    <x v="0"/>
    <x v="2"/>
    <x v="0"/>
  </r>
  <r>
    <x v="409"/>
    <x v="14"/>
    <x v="1"/>
    <x v="12"/>
    <x v="2"/>
    <x v="137"/>
    <x v="3"/>
    <x v="107"/>
    <x v="57"/>
    <x v="18"/>
    <x v="0"/>
    <x v="1"/>
    <x v="3"/>
    <x v="2"/>
    <x v="0"/>
  </r>
  <r>
    <x v="410"/>
    <x v="6"/>
    <x v="1"/>
    <x v="4"/>
    <x v="2"/>
    <x v="37"/>
    <x v="4"/>
    <x v="107"/>
    <x v="102"/>
    <x v="0"/>
    <x v="0"/>
    <x v="1"/>
    <x v="1"/>
    <x v="0"/>
    <x v="0"/>
  </r>
  <r>
    <x v="411"/>
    <x v="2"/>
    <x v="0"/>
    <x v="2"/>
    <x v="1"/>
    <x v="80"/>
    <x v="4"/>
    <x v="107"/>
    <x v="61"/>
    <x v="9"/>
    <x v="0"/>
    <x v="1"/>
    <x v="3"/>
    <x v="2"/>
    <x v="0"/>
  </r>
  <r>
    <x v="412"/>
    <x v="12"/>
    <x v="1"/>
    <x v="10"/>
    <x v="0"/>
    <x v="29"/>
    <x v="2"/>
    <x v="107"/>
    <x v="57"/>
    <x v="0"/>
    <x v="0"/>
    <x v="1"/>
    <x v="0"/>
    <x v="0"/>
    <x v="0"/>
  </r>
  <r>
    <x v="413"/>
    <x v="10"/>
    <x v="0"/>
    <x v="8"/>
    <x v="1"/>
    <x v="114"/>
    <x v="4"/>
    <x v="107"/>
    <x v="0"/>
    <x v="6"/>
    <x v="0"/>
    <x v="1"/>
    <x v="1"/>
    <x v="2"/>
    <x v="0"/>
  </r>
  <r>
    <x v="414"/>
    <x v="0"/>
    <x v="0"/>
    <x v="0"/>
    <x v="0"/>
    <x v="92"/>
    <x v="4"/>
    <x v="108"/>
    <x v="89"/>
    <x v="17"/>
    <x v="0"/>
    <x v="2"/>
    <x v="1"/>
    <x v="2"/>
    <x v="0"/>
  </r>
  <r>
    <x v="415"/>
    <x v="12"/>
    <x v="1"/>
    <x v="10"/>
    <x v="0"/>
    <x v="55"/>
    <x v="1"/>
    <x v="108"/>
    <x v="32"/>
    <x v="0"/>
    <x v="0"/>
    <x v="2"/>
    <x v="1"/>
    <x v="0"/>
    <x v="0"/>
  </r>
  <r>
    <x v="416"/>
    <x v="2"/>
    <x v="0"/>
    <x v="2"/>
    <x v="1"/>
    <x v="130"/>
    <x v="1"/>
    <x v="108"/>
    <x v="67"/>
    <x v="10"/>
    <x v="0"/>
    <x v="2"/>
    <x v="0"/>
    <x v="2"/>
    <x v="0"/>
  </r>
  <r>
    <x v="417"/>
    <x v="4"/>
    <x v="1"/>
    <x v="4"/>
    <x v="0"/>
    <x v="138"/>
    <x v="1"/>
    <x v="108"/>
    <x v="4"/>
    <x v="17"/>
    <x v="0"/>
    <x v="2"/>
    <x v="3"/>
    <x v="2"/>
    <x v="0"/>
  </r>
  <r>
    <x v="418"/>
    <x v="2"/>
    <x v="0"/>
    <x v="2"/>
    <x v="1"/>
    <x v="131"/>
    <x v="1"/>
    <x v="108"/>
    <x v="71"/>
    <x v="11"/>
    <x v="0"/>
    <x v="2"/>
    <x v="0"/>
    <x v="2"/>
    <x v="0"/>
  </r>
  <r>
    <x v="419"/>
    <x v="5"/>
    <x v="1"/>
    <x v="5"/>
    <x v="2"/>
    <x v="116"/>
    <x v="2"/>
    <x v="109"/>
    <x v="97"/>
    <x v="4"/>
    <x v="0"/>
    <x v="3"/>
    <x v="1"/>
    <x v="0"/>
    <x v="0"/>
  </r>
  <r>
    <x v="420"/>
    <x v="12"/>
    <x v="1"/>
    <x v="10"/>
    <x v="0"/>
    <x v="137"/>
    <x v="0"/>
    <x v="109"/>
    <x v="90"/>
    <x v="2"/>
    <x v="0"/>
    <x v="3"/>
    <x v="3"/>
    <x v="0"/>
    <x v="0"/>
  </r>
  <r>
    <x v="421"/>
    <x v="8"/>
    <x v="0"/>
    <x v="6"/>
    <x v="2"/>
    <x v="28"/>
    <x v="2"/>
    <x v="109"/>
    <x v="2"/>
    <x v="18"/>
    <x v="0"/>
    <x v="3"/>
    <x v="0"/>
    <x v="2"/>
    <x v="0"/>
  </r>
  <r>
    <x v="422"/>
    <x v="8"/>
    <x v="0"/>
    <x v="6"/>
    <x v="2"/>
    <x v="7"/>
    <x v="2"/>
    <x v="109"/>
    <x v="78"/>
    <x v="23"/>
    <x v="0"/>
    <x v="3"/>
    <x v="2"/>
    <x v="1"/>
    <x v="0"/>
  </r>
  <r>
    <x v="423"/>
    <x v="2"/>
    <x v="0"/>
    <x v="2"/>
    <x v="1"/>
    <x v="66"/>
    <x v="1"/>
    <x v="109"/>
    <x v="41"/>
    <x v="7"/>
    <x v="0"/>
    <x v="3"/>
    <x v="0"/>
    <x v="1"/>
    <x v="0"/>
  </r>
  <r>
    <x v="424"/>
    <x v="0"/>
    <x v="0"/>
    <x v="0"/>
    <x v="0"/>
    <x v="97"/>
    <x v="3"/>
    <x v="110"/>
    <x v="28"/>
    <x v="19"/>
    <x v="0"/>
    <x v="4"/>
    <x v="0"/>
    <x v="0"/>
    <x v="0"/>
  </r>
  <r>
    <x v="425"/>
    <x v="5"/>
    <x v="1"/>
    <x v="5"/>
    <x v="2"/>
    <x v="58"/>
    <x v="0"/>
    <x v="110"/>
    <x v="94"/>
    <x v="29"/>
    <x v="0"/>
    <x v="4"/>
    <x v="0"/>
    <x v="3"/>
    <x v="0"/>
  </r>
  <r>
    <x v="426"/>
    <x v="3"/>
    <x v="1"/>
    <x v="3"/>
    <x v="1"/>
    <x v="139"/>
    <x v="0"/>
    <x v="110"/>
    <x v="28"/>
    <x v="16"/>
    <x v="0"/>
    <x v="4"/>
    <x v="1"/>
    <x v="1"/>
    <x v="0"/>
  </r>
  <r>
    <x v="427"/>
    <x v="2"/>
    <x v="0"/>
    <x v="2"/>
    <x v="1"/>
    <x v="61"/>
    <x v="3"/>
    <x v="111"/>
    <x v="27"/>
    <x v="22"/>
    <x v="0"/>
    <x v="5"/>
    <x v="1"/>
    <x v="1"/>
    <x v="0"/>
  </r>
  <r>
    <x v="428"/>
    <x v="10"/>
    <x v="0"/>
    <x v="8"/>
    <x v="1"/>
    <x v="125"/>
    <x v="1"/>
    <x v="111"/>
    <x v="94"/>
    <x v="4"/>
    <x v="0"/>
    <x v="5"/>
    <x v="2"/>
    <x v="0"/>
    <x v="0"/>
  </r>
  <r>
    <x v="429"/>
    <x v="8"/>
    <x v="0"/>
    <x v="6"/>
    <x v="2"/>
    <x v="10"/>
    <x v="4"/>
    <x v="112"/>
    <x v="29"/>
    <x v="16"/>
    <x v="0"/>
    <x v="6"/>
    <x v="1"/>
    <x v="1"/>
    <x v="0"/>
  </r>
  <r>
    <x v="430"/>
    <x v="5"/>
    <x v="1"/>
    <x v="5"/>
    <x v="2"/>
    <x v="22"/>
    <x v="1"/>
    <x v="112"/>
    <x v="38"/>
    <x v="1"/>
    <x v="0"/>
    <x v="6"/>
    <x v="0"/>
    <x v="1"/>
    <x v="0"/>
  </r>
  <r>
    <x v="431"/>
    <x v="5"/>
    <x v="1"/>
    <x v="5"/>
    <x v="2"/>
    <x v="22"/>
    <x v="3"/>
    <x v="112"/>
    <x v="45"/>
    <x v="21"/>
    <x v="0"/>
    <x v="6"/>
    <x v="0"/>
    <x v="3"/>
    <x v="0"/>
  </r>
  <r>
    <x v="432"/>
    <x v="9"/>
    <x v="1"/>
    <x v="7"/>
    <x v="1"/>
    <x v="107"/>
    <x v="2"/>
    <x v="112"/>
    <x v="69"/>
    <x v="19"/>
    <x v="0"/>
    <x v="6"/>
    <x v="0"/>
    <x v="0"/>
    <x v="0"/>
  </r>
  <r>
    <x v="433"/>
    <x v="2"/>
    <x v="0"/>
    <x v="2"/>
    <x v="1"/>
    <x v="140"/>
    <x v="1"/>
    <x v="112"/>
    <x v="11"/>
    <x v="4"/>
    <x v="0"/>
    <x v="6"/>
    <x v="3"/>
    <x v="0"/>
    <x v="0"/>
  </r>
  <r>
    <x v="434"/>
    <x v="8"/>
    <x v="0"/>
    <x v="6"/>
    <x v="2"/>
    <x v="48"/>
    <x v="3"/>
    <x v="113"/>
    <x v="75"/>
    <x v="4"/>
    <x v="0"/>
    <x v="0"/>
    <x v="0"/>
    <x v="0"/>
    <x v="0"/>
  </r>
  <r>
    <x v="435"/>
    <x v="9"/>
    <x v="1"/>
    <x v="7"/>
    <x v="1"/>
    <x v="22"/>
    <x v="3"/>
    <x v="113"/>
    <x v="5"/>
    <x v="6"/>
    <x v="0"/>
    <x v="0"/>
    <x v="0"/>
    <x v="2"/>
    <x v="0"/>
  </r>
  <r>
    <x v="436"/>
    <x v="14"/>
    <x v="1"/>
    <x v="12"/>
    <x v="2"/>
    <x v="73"/>
    <x v="1"/>
    <x v="114"/>
    <x v="102"/>
    <x v="4"/>
    <x v="0"/>
    <x v="1"/>
    <x v="2"/>
    <x v="0"/>
    <x v="0"/>
  </r>
  <r>
    <x v="437"/>
    <x v="7"/>
    <x v="1"/>
    <x v="2"/>
    <x v="2"/>
    <x v="65"/>
    <x v="2"/>
    <x v="114"/>
    <x v="88"/>
    <x v="18"/>
    <x v="0"/>
    <x v="1"/>
    <x v="1"/>
    <x v="2"/>
    <x v="0"/>
  </r>
  <r>
    <x v="438"/>
    <x v="1"/>
    <x v="0"/>
    <x v="1"/>
    <x v="0"/>
    <x v="141"/>
    <x v="4"/>
    <x v="114"/>
    <x v="59"/>
    <x v="27"/>
    <x v="0"/>
    <x v="1"/>
    <x v="0"/>
    <x v="1"/>
    <x v="0"/>
  </r>
  <r>
    <x v="439"/>
    <x v="8"/>
    <x v="0"/>
    <x v="6"/>
    <x v="2"/>
    <x v="77"/>
    <x v="0"/>
    <x v="114"/>
    <x v="21"/>
    <x v="20"/>
    <x v="0"/>
    <x v="1"/>
    <x v="0"/>
    <x v="2"/>
    <x v="0"/>
  </r>
  <r>
    <x v="440"/>
    <x v="11"/>
    <x v="1"/>
    <x v="9"/>
    <x v="2"/>
    <x v="21"/>
    <x v="1"/>
    <x v="114"/>
    <x v="2"/>
    <x v="4"/>
    <x v="0"/>
    <x v="1"/>
    <x v="0"/>
    <x v="0"/>
    <x v="0"/>
  </r>
  <r>
    <x v="441"/>
    <x v="6"/>
    <x v="1"/>
    <x v="4"/>
    <x v="2"/>
    <x v="1"/>
    <x v="2"/>
    <x v="114"/>
    <x v="7"/>
    <x v="2"/>
    <x v="0"/>
    <x v="1"/>
    <x v="0"/>
    <x v="0"/>
    <x v="0"/>
  </r>
  <r>
    <x v="442"/>
    <x v="0"/>
    <x v="0"/>
    <x v="0"/>
    <x v="0"/>
    <x v="10"/>
    <x v="3"/>
    <x v="115"/>
    <x v="72"/>
    <x v="17"/>
    <x v="0"/>
    <x v="2"/>
    <x v="1"/>
    <x v="2"/>
    <x v="0"/>
  </r>
  <r>
    <x v="443"/>
    <x v="7"/>
    <x v="1"/>
    <x v="2"/>
    <x v="2"/>
    <x v="103"/>
    <x v="4"/>
    <x v="115"/>
    <x v="26"/>
    <x v="23"/>
    <x v="0"/>
    <x v="2"/>
    <x v="2"/>
    <x v="1"/>
    <x v="0"/>
  </r>
  <r>
    <x v="444"/>
    <x v="2"/>
    <x v="0"/>
    <x v="2"/>
    <x v="1"/>
    <x v="142"/>
    <x v="3"/>
    <x v="116"/>
    <x v="46"/>
    <x v="12"/>
    <x v="0"/>
    <x v="3"/>
    <x v="2"/>
    <x v="2"/>
    <x v="0"/>
  </r>
  <r>
    <x v="445"/>
    <x v="0"/>
    <x v="0"/>
    <x v="0"/>
    <x v="0"/>
    <x v="74"/>
    <x v="1"/>
    <x v="116"/>
    <x v="9"/>
    <x v="36"/>
    <x v="0"/>
    <x v="3"/>
    <x v="0"/>
    <x v="5"/>
    <x v="0"/>
  </r>
  <r>
    <x v="446"/>
    <x v="9"/>
    <x v="1"/>
    <x v="7"/>
    <x v="1"/>
    <x v="84"/>
    <x v="4"/>
    <x v="116"/>
    <x v="99"/>
    <x v="20"/>
    <x v="0"/>
    <x v="3"/>
    <x v="0"/>
    <x v="2"/>
    <x v="0"/>
  </r>
  <r>
    <x v="447"/>
    <x v="0"/>
    <x v="0"/>
    <x v="0"/>
    <x v="0"/>
    <x v="129"/>
    <x v="4"/>
    <x v="116"/>
    <x v="55"/>
    <x v="10"/>
    <x v="0"/>
    <x v="3"/>
    <x v="0"/>
    <x v="2"/>
    <x v="0"/>
  </r>
  <r>
    <x v="448"/>
    <x v="13"/>
    <x v="0"/>
    <x v="11"/>
    <x v="1"/>
    <x v="78"/>
    <x v="4"/>
    <x v="117"/>
    <x v="49"/>
    <x v="14"/>
    <x v="0"/>
    <x v="4"/>
    <x v="3"/>
    <x v="0"/>
    <x v="0"/>
  </r>
  <r>
    <x v="449"/>
    <x v="14"/>
    <x v="1"/>
    <x v="12"/>
    <x v="2"/>
    <x v="75"/>
    <x v="2"/>
    <x v="117"/>
    <x v="44"/>
    <x v="3"/>
    <x v="0"/>
    <x v="4"/>
    <x v="0"/>
    <x v="1"/>
    <x v="0"/>
  </r>
  <r>
    <x v="450"/>
    <x v="9"/>
    <x v="1"/>
    <x v="7"/>
    <x v="1"/>
    <x v="22"/>
    <x v="1"/>
    <x v="117"/>
    <x v="19"/>
    <x v="0"/>
    <x v="0"/>
    <x v="4"/>
    <x v="0"/>
    <x v="0"/>
    <x v="0"/>
  </r>
  <r>
    <x v="451"/>
    <x v="8"/>
    <x v="0"/>
    <x v="6"/>
    <x v="2"/>
    <x v="101"/>
    <x v="3"/>
    <x v="118"/>
    <x v="10"/>
    <x v="18"/>
    <x v="0"/>
    <x v="6"/>
    <x v="2"/>
    <x v="2"/>
    <x v="0"/>
  </r>
  <r>
    <x v="452"/>
    <x v="14"/>
    <x v="1"/>
    <x v="12"/>
    <x v="2"/>
    <x v="70"/>
    <x v="3"/>
    <x v="118"/>
    <x v="48"/>
    <x v="5"/>
    <x v="0"/>
    <x v="6"/>
    <x v="1"/>
    <x v="2"/>
    <x v="0"/>
  </r>
  <r>
    <x v="453"/>
    <x v="8"/>
    <x v="0"/>
    <x v="6"/>
    <x v="2"/>
    <x v="95"/>
    <x v="3"/>
    <x v="119"/>
    <x v="85"/>
    <x v="8"/>
    <x v="0"/>
    <x v="0"/>
    <x v="0"/>
    <x v="2"/>
    <x v="0"/>
  </r>
  <r>
    <x v="454"/>
    <x v="11"/>
    <x v="1"/>
    <x v="9"/>
    <x v="2"/>
    <x v="65"/>
    <x v="3"/>
    <x v="119"/>
    <x v="85"/>
    <x v="2"/>
    <x v="0"/>
    <x v="0"/>
    <x v="1"/>
    <x v="0"/>
    <x v="0"/>
  </r>
  <r>
    <x v="455"/>
    <x v="0"/>
    <x v="0"/>
    <x v="0"/>
    <x v="0"/>
    <x v="143"/>
    <x v="1"/>
    <x v="120"/>
    <x v="64"/>
    <x v="0"/>
    <x v="0"/>
    <x v="1"/>
    <x v="2"/>
    <x v="0"/>
    <x v="0"/>
  </r>
  <r>
    <x v="456"/>
    <x v="1"/>
    <x v="0"/>
    <x v="1"/>
    <x v="0"/>
    <x v="7"/>
    <x v="2"/>
    <x v="120"/>
    <x v="67"/>
    <x v="14"/>
    <x v="0"/>
    <x v="1"/>
    <x v="2"/>
    <x v="0"/>
    <x v="0"/>
  </r>
  <r>
    <x v="457"/>
    <x v="0"/>
    <x v="0"/>
    <x v="0"/>
    <x v="0"/>
    <x v="59"/>
    <x v="4"/>
    <x v="120"/>
    <x v="7"/>
    <x v="0"/>
    <x v="0"/>
    <x v="1"/>
    <x v="0"/>
    <x v="0"/>
    <x v="0"/>
  </r>
  <r>
    <x v="458"/>
    <x v="11"/>
    <x v="1"/>
    <x v="9"/>
    <x v="2"/>
    <x v="21"/>
    <x v="0"/>
    <x v="120"/>
    <x v="90"/>
    <x v="6"/>
    <x v="0"/>
    <x v="1"/>
    <x v="0"/>
    <x v="2"/>
    <x v="0"/>
  </r>
  <r>
    <x v="459"/>
    <x v="9"/>
    <x v="1"/>
    <x v="7"/>
    <x v="1"/>
    <x v="128"/>
    <x v="2"/>
    <x v="120"/>
    <x v="68"/>
    <x v="11"/>
    <x v="0"/>
    <x v="1"/>
    <x v="3"/>
    <x v="2"/>
    <x v="0"/>
  </r>
  <r>
    <x v="460"/>
    <x v="4"/>
    <x v="1"/>
    <x v="4"/>
    <x v="0"/>
    <x v="8"/>
    <x v="4"/>
    <x v="120"/>
    <x v="23"/>
    <x v="8"/>
    <x v="0"/>
    <x v="1"/>
    <x v="2"/>
    <x v="2"/>
    <x v="0"/>
  </r>
  <r>
    <x v="461"/>
    <x v="10"/>
    <x v="0"/>
    <x v="8"/>
    <x v="1"/>
    <x v="144"/>
    <x v="1"/>
    <x v="121"/>
    <x v="14"/>
    <x v="4"/>
    <x v="0"/>
    <x v="2"/>
    <x v="2"/>
    <x v="0"/>
    <x v="0"/>
  </r>
  <r>
    <x v="462"/>
    <x v="14"/>
    <x v="1"/>
    <x v="12"/>
    <x v="2"/>
    <x v="34"/>
    <x v="3"/>
    <x v="122"/>
    <x v="92"/>
    <x v="14"/>
    <x v="0"/>
    <x v="3"/>
    <x v="0"/>
    <x v="0"/>
    <x v="0"/>
  </r>
  <r>
    <x v="463"/>
    <x v="6"/>
    <x v="1"/>
    <x v="4"/>
    <x v="2"/>
    <x v="17"/>
    <x v="2"/>
    <x v="123"/>
    <x v="4"/>
    <x v="16"/>
    <x v="0"/>
    <x v="4"/>
    <x v="2"/>
    <x v="1"/>
    <x v="0"/>
  </r>
  <r>
    <x v="464"/>
    <x v="2"/>
    <x v="0"/>
    <x v="2"/>
    <x v="1"/>
    <x v="128"/>
    <x v="2"/>
    <x v="124"/>
    <x v="79"/>
    <x v="23"/>
    <x v="0"/>
    <x v="5"/>
    <x v="3"/>
    <x v="1"/>
    <x v="0"/>
  </r>
  <r>
    <x v="465"/>
    <x v="7"/>
    <x v="1"/>
    <x v="2"/>
    <x v="2"/>
    <x v="129"/>
    <x v="3"/>
    <x v="124"/>
    <x v="103"/>
    <x v="0"/>
    <x v="0"/>
    <x v="5"/>
    <x v="0"/>
    <x v="0"/>
    <x v="0"/>
  </r>
  <r>
    <x v="466"/>
    <x v="4"/>
    <x v="1"/>
    <x v="4"/>
    <x v="0"/>
    <x v="111"/>
    <x v="4"/>
    <x v="124"/>
    <x v="53"/>
    <x v="4"/>
    <x v="0"/>
    <x v="5"/>
    <x v="1"/>
    <x v="0"/>
    <x v="0"/>
  </r>
  <r>
    <x v="467"/>
    <x v="7"/>
    <x v="1"/>
    <x v="2"/>
    <x v="2"/>
    <x v="22"/>
    <x v="1"/>
    <x v="125"/>
    <x v="62"/>
    <x v="40"/>
    <x v="0"/>
    <x v="0"/>
    <x v="0"/>
    <x v="5"/>
    <x v="0"/>
  </r>
  <r>
    <x v="468"/>
    <x v="13"/>
    <x v="0"/>
    <x v="11"/>
    <x v="1"/>
    <x v="102"/>
    <x v="2"/>
    <x v="125"/>
    <x v="85"/>
    <x v="22"/>
    <x v="0"/>
    <x v="0"/>
    <x v="0"/>
    <x v="1"/>
    <x v="0"/>
  </r>
  <r>
    <x v="469"/>
    <x v="2"/>
    <x v="0"/>
    <x v="2"/>
    <x v="1"/>
    <x v="86"/>
    <x v="3"/>
    <x v="125"/>
    <x v="35"/>
    <x v="7"/>
    <x v="0"/>
    <x v="0"/>
    <x v="0"/>
    <x v="1"/>
    <x v="0"/>
  </r>
  <r>
    <x v="470"/>
    <x v="5"/>
    <x v="1"/>
    <x v="5"/>
    <x v="2"/>
    <x v="108"/>
    <x v="3"/>
    <x v="126"/>
    <x v="70"/>
    <x v="19"/>
    <x v="0"/>
    <x v="1"/>
    <x v="2"/>
    <x v="0"/>
    <x v="0"/>
  </r>
  <r>
    <x v="471"/>
    <x v="1"/>
    <x v="0"/>
    <x v="1"/>
    <x v="0"/>
    <x v="85"/>
    <x v="2"/>
    <x v="126"/>
    <x v="59"/>
    <x v="12"/>
    <x v="0"/>
    <x v="1"/>
    <x v="1"/>
    <x v="2"/>
    <x v="0"/>
  </r>
  <r>
    <x v="472"/>
    <x v="14"/>
    <x v="1"/>
    <x v="12"/>
    <x v="2"/>
    <x v="145"/>
    <x v="3"/>
    <x v="127"/>
    <x v="83"/>
    <x v="34"/>
    <x v="0"/>
    <x v="2"/>
    <x v="2"/>
    <x v="1"/>
    <x v="0"/>
  </r>
  <r>
    <x v="473"/>
    <x v="10"/>
    <x v="0"/>
    <x v="8"/>
    <x v="1"/>
    <x v="98"/>
    <x v="1"/>
    <x v="127"/>
    <x v="23"/>
    <x v="18"/>
    <x v="0"/>
    <x v="2"/>
    <x v="3"/>
    <x v="2"/>
    <x v="0"/>
  </r>
  <r>
    <x v="474"/>
    <x v="2"/>
    <x v="0"/>
    <x v="2"/>
    <x v="1"/>
    <x v="24"/>
    <x v="3"/>
    <x v="128"/>
    <x v="98"/>
    <x v="0"/>
    <x v="0"/>
    <x v="3"/>
    <x v="0"/>
    <x v="0"/>
    <x v="0"/>
  </r>
  <r>
    <x v="475"/>
    <x v="14"/>
    <x v="1"/>
    <x v="12"/>
    <x v="2"/>
    <x v="12"/>
    <x v="2"/>
    <x v="128"/>
    <x v="96"/>
    <x v="23"/>
    <x v="0"/>
    <x v="3"/>
    <x v="1"/>
    <x v="1"/>
    <x v="0"/>
  </r>
  <r>
    <x v="476"/>
    <x v="8"/>
    <x v="0"/>
    <x v="6"/>
    <x v="2"/>
    <x v="54"/>
    <x v="1"/>
    <x v="128"/>
    <x v="30"/>
    <x v="2"/>
    <x v="0"/>
    <x v="3"/>
    <x v="2"/>
    <x v="0"/>
    <x v="0"/>
  </r>
  <r>
    <x v="477"/>
    <x v="2"/>
    <x v="0"/>
    <x v="2"/>
    <x v="1"/>
    <x v="117"/>
    <x v="3"/>
    <x v="128"/>
    <x v="38"/>
    <x v="12"/>
    <x v="0"/>
    <x v="3"/>
    <x v="0"/>
    <x v="2"/>
    <x v="0"/>
  </r>
  <r>
    <x v="478"/>
    <x v="6"/>
    <x v="1"/>
    <x v="4"/>
    <x v="2"/>
    <x v="79"/>
    <x v="4"/>
    <x v="129"/>
    <x v="32"/>
    <x v="12"/>
    <x v="0"/>
    <x v="4"/>
    <x v="3"/>
    <x v="2"/>
    <x v="0"/>
  </r>
  <r>
    <x v="479"/>
    <x v="9"/>
    <x v="1"/>
    <x v="7"/>
    <x v="1"/>
    <x v="38"/>
    <x v="4"/>
    <x v="130"/>
    <x v="12"/>
    <x v="20"/>
    <x v="0"/>
    <x v="5"/>
    <x v="0"/>
    <x v="2"/>
    <x v="0"/>
  </r>
  <r>
    <x v="480"/>
    <x v="1"/>
    <x v="0"/>
    <x v="1"/>
    <x v="0"/>
    <x v="19"/>
    <x v="2"/>
    <x v="131"/>
    <x v="86"/>
    <x v="2"/>
    <x v="0"/>
    <x v="0"/>
    <x v="0"/>
    <x v="0"/>
    <x v="0"/>
  </r>
  <r>
    <x v="481"/>
    <x v="12"/>
    <x v="1"/>
    <x v="10"/>
    <x v="0"/>
    <x v="99"/>
    <x v="4"/>
    <x v="131"/>
    <x v="99"/>
    <x v="0"/>
    <x v="0"/>
    <x v="0"/>
    <x v="0"/>
    <x v="0"/>
    <x v="0"/>
  </r>
  <r>
    <x v="482"/>
    <x v="12"/>
    <x v="1"/>
    <x v="10"/>
    <x v="0"/>
    <x v="107"/>
    <x v="4"/>
    <x v="131"/>
    <x v="0"/>
    <x v="10"/>
    <x v="0"/>
    <x v="0"/>
    <x v="0"/>
    <x v="2"/>
    <x v="0"/>
  </r>
  <r>
    <x v="483"/>
    <x v="12"/>
    <x v="1"/>
    <x v="10"/>
    <x v="0"/>
    <x v="146"/>
    <x v="2"/>
    <x v="131"/>
    <x v="44"/>
    <x v="14"/>
    <x v="0"/>
    <x v="0"/>
    <x v="0"/>
    <x v="0"/>
    <x v="0"/>
  </r>
  <r>
    <x v="484"/>
    <x v="8"/>
    <x v="0"/>
    <x v="6"/>
    <x v="2"/>
    <x v="77"/>
    <x v="3"/>
    <x v="132"/>
    <x v="77"/>
    <x v="19"/>
    <x v="0"/>
    <x v="1"/>
    <x v="0"/>
    <x v="0"/>
    <x v="0"/>
  </r>
  <r>
    <x v="485"/>
    <x v="6"/>
    <x v="1"/>
    <x v="4"/>
    <x v="2"/>
    <x v="90"/>
    <x v="4"/>
    <x v="132"/>
    <x v="32"/>
    <x v="16"/>
    <x v="0"/>
    <x v="1"/>
    <x v="0"/>
    <x v="1"/>
    <x v="0"/>
  </r>
  <r>
    <x v="486"/>
    <x v="4"/>
    <x v="1"/>
    <x v="4"/>
    <x v="0"/>
    <x v="147"/>
    <x v="4"/>
    <x v="132"/>
    <x v="16"/>
    <x v="11"/>
    <x v="0"/>
    <x v="1"/>
    <x v="2"/>
    <x v="2"/>
    <x v="0"/>
  </r>
  <r>
    <x v="487"/>
    <x v="12"/>
    <x v="1"/>
    <x v="10"/>
    <x v="0"/>
    <x v="86"/>
    <x v="2"/>
    <x v="132"/>
    <x v="28"/>
    <x v="2"/>
    <x v="0"/>
    <x v="1"/>
    <x v="0"/>
    <x v="0"/>
    <x v="0"/>
  </r>
  <r>
    <x v="488"/>
    <x v="3"/>
    <x v="1"/>
    <x v="3"/>
    <x v="1"/>
    <x v="23"/>
    <x v="3"/>
    <x v="133"/>
    <x v="64"/>
    <x v="9"/>
    <x v="0"/>
    <x v="2"/>
    <x v="1"/>
    <x v="2"/>
    <x v="0"/>
  </r>
  <r>
    <x v="489"/>
    <x v="1"/>
    <x v="0"/>
    <x v="1"/>
    <x v="0"/>
    <x v="146"/>
    <x v="3"/>
    <x v="133"/>
    <x v="66"/>
    <x v="2"/>
    <x v="0"/>
    <x v="2"/>
    <x v="0"/>
    <x v="0"/>
    <x v="0"/>
  </r>
  <r>
    <x v="490"/>
    <x v="14"/>
    <x v="1"/>
    <x v="12"/>
    <x v="2"/>
    <x v="47"/>
    <x v="3"/>
    <x v="133"/>
    <x v="24"/>
    <x v="25"/>
    <x v="0"/>
    <x v="2"/>
    <x v="0"/>
    <x v="1"/>
    <x v="0"/>
  </r>
  <r>
    <x v="491"/>
    <x v="6"/>
    <x v="1"/>
    <x v="4"/>
    <x v="2"/>
    <x v="44"/>
    <x v="0"/>
    <x v="134"/>
    <x v="26"/>
    <x v="6"/>
    <x v="0"/>
    <x v="3"/>
    <x v="2"/>
    <x v="2"/>
    <x v="0"/>
  </r>
  <r>
    <x v="492"/>
    <x v="10"/>
    <x v="0"/>
    <x v="8"/>
    <x v="1"/>
    <x v="122"/>
    <x v="4"/>
    <x v="134"/>
    <x v="4"/>
    <x v="20"/>
    <x v="0"/>
    <x v="3"/>
    <x v="1"/>
    <x v="2"/>
    <x v="0"/>
  </r>
  <r>
    <x v="493"/>
    <x v="13"/>
    <x v="0"/>
    <x v="11"/>
    <x v="1"/>
    <x v="58"/>
    <x v="1"/>
    <x v="134"/>
    <x v="49"/>
    <x v="10"/>
    <x v="0"/>
    <x v="3"/>
    <x v="0"/>
    <x v="2"/>
    <x v="0"/>
  </r>
  <r>
    <x v="494"/>
    <x v="7"/>
    <x v="1"/>
    <x v="2"/>
    <x v="2"/>
    <x v="89"/>
    <x v="3"/>
    <x v="135"/>
    <x v="26"/>
    <x v="20"/>
    <x v="0"/>
    <x v="4"/>
    <x v="1"/>
    <x v="2"/>
    <x v="0"/>
  </r>
  <r>
    <x v="495"/>
    <x v="4"/>
    <x v="1"/>
    <x v="4"/>
    <x v="0"/>
    <x v="148"/>
    <x v="4"/>
    <x v="135"/>
    <x v="26"/>
    <x v="12"/>
    <x v="0"/>
    <x v="4"/>
    <x v="1"/>
    <x v="2"/>
    <x v="0"/>
  </r>
  <r>
    <x v="496"/>
    <x v="14"/>
    <x v="1"/>
    <x v="12"/>
    <x v="2"/>
    <x v="149"/>
    <x v="4"/>
    <x v="135"/>
    <x v="73"/>
    <x v="1"/>
    <x v="0"/>
    <x v="4"/>
    <x v="1"/>
    <x v="1"/>
    <x v="0"/>
  </r>
  <r>
    <x v="497"/>
    <x v="7"/>
    <x v="1"/>
    <x v="2"/>
    <x v="2"/>
    <x v="22"/>
    <x v="4"/>
    <x v="135"/>
    <x v="93"/>
    <x v="12"/>
    <x v="0"/>
    <x v="4"/>
    <x v="0"/>
    <x v="2"/>
    <x v="0"/>
  </r>
  <r>
    <x v="498"/>
    <x v="9"/>
    <x v="1"/>
    <x v="7"/>
    <x v="1"/>
    <x v="86"/>
    <x v="4"/>
    <x v="135"/>
    <x v="45"/>
    <x v="0"/>
    <x v="0"/>
    <x v="4"/>
    <x v="0"/>
    <x v="0"/>
    <x v="0"/>
  </r>
  <r>
    <x v="499"/>
    <x v="9"/>
    <x v="1"/>
    <x v="7"/>
    <x v="1"/>
    <x v="146"/>
    <x v="3"/>
    <x v="135"/>
    <x v="45"/>
    <x v="9"/>
    <x v="0"/>
    <x v="4"/>
    <x v="0"/>
    <x v="2"/>
    <x v="0"/>
  </r>
  <r>
    <x v="500"/>
    <x v="13"/>
    <x v="0"/>
    <x v="11"/>
    <x v="1"/>
    <x v="50"/>
    <x v="2"/>
    <x v="136"/>
    <x v="95"/>
    <x v="9"/>
    <x v="0"/>
    <x v="5"/>
    <x v="0"/>
    <x v="2"/>
    <x v="0"/>
  </r>
  <r>
    <x v="501"/>
    <x v="8"/>
    <x v="0"/>
    <x v="6"/>
    <x v="2"/>
    <x v="6"/>
    <x v="0"/>
    <x v="136"/>
    <x v="53"/>
    <x v="7"/>
    <x v="0"/>
    <x v="5"/>
    <x v="0"/>
    <x v="1"/>
    <x v="0"/>
  </r>
  <r>
    <x v="502"/>
    <x v="3"/>
    <x v="1"/>
    <x v="3"/>
    <x v="1"/>
    <x v="64"/>
    <x v="0"/>
    <x v="136"/>
    <x v="1"/>
    <x v="10"/>
    <x v="0"/>
    <x v="5"/>
    <x v="2"/>
    <x v="2"/>
    <x v="0"/>
  </r>
  <r>
    <x v="503"/>
    <x v="13"/>
    <x v="0"/>
    <x v="11"/>
    <x v="1"/>
    <x v="50"/>
    <x v="1"/>
    <x v="136"/>
    <x v="34"/>
    <x v="15"/>
    <x v="0"/>
    <x v="5"/>
    <x v="0"/>
    <x v="3"/>
    <x v="0"/>
  </r>
  <r>
    <x v="504"/>
    <x v="6"/>
    <x v="1"/>
    <x v="4"/>
    <x v="2"/>
    <x v="62"/>
    <x v="2"/>
    <x v="136"/>
    <x v="64"/>
    <x v="0"/>
    <x v="0"/>
    <x v="5"/>
    <x v="2"/>
    <x v="0"/>
    <x v="0"/>
  </r>
  <r>
    <x v="505"/>
    <x v="13"/>
    <x v="0"/>
    <x v="11"/>
    <x v="1"/>
    <x v="38"/>
    <x v="3"/>
    <x v="137"/>
    <x v="36"/>
    <x v="7"/>
    <x v="0"/>
    <x v="6"/>
    <x v="0"/>
    <x v="1"/>
    <x v="0"/>
  </r>
  <r>
    <x v="506"/>
    <x v="13"/>
    <x v="0"/>
    <x v="11"/>
    <x v="1"/>
    <x v="58"/>
    <x v="3"/>
    <x v="137"/>
    <x v="101"/>
    <x v="13"/>
    <x v="0"/>
    <x v="6"/>
    <x v="0"/>
    <x v="0"/>
    <x v="0"/>
  </r>
  <r>
    <x v="507"/>
    <x v="0"/>
    <x v="0"/>
    <x v="0"/>
    <x v="0"/>
    <x v="71"/>
    <x v="2"/>
    <x v="138"/>
    <x v="98"/>
    <x v="14"/>
    <x v="0"/>
    <x v="0"/>
    <x v="2"/>
    <x v="0"/>
    <x v="0"/>
  </r>
  <r>
    <x v="508"/>
    <x v="7"/>
    <x v="1"/>
    <x v="2"/>
    <x v="2"/>
    <x v="101"/>
    <x v="0"/>
    <x v="138"/>
    <x v="93"/>
    <x v="27"/>
    <x v="0"/>
    <x v="0"/>
    <x v="2"/>
    <x v="1"/>
    <x v="0"/>
  </r>
  <r>
    <x v="509"/>
    <x v="6"/>
    <x v="1"/>
    <x v="4"/>
    <x v="2"/>
    <x v="150"/>
    <x v="4"/>
    <x v="138"/>
    <x v="82"/>
    <x v="18"/>
    <x v="0"/>
    <x v="0"/>
    <x v="1"/>
    <x v="2"/>
    <x v="0"/>
  </r>
  <r>
    <x v="510"/>
    <x v="4"/>
    <x v="1"/>
    <x v="4"/>
    <x v="0"/>
    <x v="11"/>
    <x v="3"/>
    <x v="139"/>
    <x v="56"/>
    <x v="14"/>
    <x v="0"/>
    <x v="1"/>
    <x v="0"/>
    <x v="0"/>
    <x v="0"/>
  </r>
  <r>
    <x v="511"/>
    <x v="9"/>
    <x v="1"/>
    <x v="7"/>
    <x v="1"/>
    <x v="50"/>
    <x v="0"/>
    <x v="139"/>
    <x v="62"/>
    <x v="5"/>
    <x v="0"/>
    <x v="1"/>
    <x v="0"/>
    <x v="2"/>
    <x v="0"/>
  </r>
  <r>
    <x v="512"/>
    <x v="9"/>
    <x v="1"/>
    <x v="7"/>
    <x v="1"/>
    <x v="63"/>
    <x v="2"/>
    <x v="140"/>
    <x v="29"/>
    <x v="8"/>
    <x v="0"/>
    <x v="2"/>
    <x v="0"/>
    <x v="2"/>
    <x v="0"/>
  </r>
  <r>
    <x v="513"/>
    <x v="6"/>
    <x v="1"/>
    <x v="4"/>
    <x v="2"/>
    <x v="104"/>
    <x v="4"/>
    <x v="140"/>
    <x v="31"/>
    <x v="35"/>
    <x v="0"/>
    <x v="2"/>
    <x v="1"/>
    <x v="1"/>
    <x v="0"/>
  </r>
  <r>
    <x v="514"/>
    <x v="11"/>
    <x v="1"/>
    <x v="9"/>
    <x v="2"/>
    <x v="30"/>
    <x v="1"/>
    <x v="140"/>
    <x v="67"/>
    <x v="2"/>
    <x v="0"/>
    <x v="2"/>
    <x v="0"/>
    <x v="0"/>
    <x v="0"/>
  </r>
  <r>
    <x v="515"/>
    <x v="5"/>
    <x v="1"/>
    <x v="5"/>
    <x v="2"/>
    <x v="47"/>
    <x v="0"/>
    <x v="140"/>
    <x v="85"/>
    <x v="35"/>
    <x v="0"/>
    <x v="2"/>
    <x v="0"/>
    <x v="1"/>
    <x v="0"/>
  </r>
  <r>
    <x v="516"/>
    <x v="10"/>
    <x v="0"/>
    <x v="8"/>
    <x v="1"/>
    <x v="48"/>
    <x v="4"/>
    <x v="140"/>
    <x v="33"/>
    <x v="6"/>
    <x v="0"/>
    <x v="2"/>
    <x v="0"/>
    <x v="2"/>
    <x v="0"/>
  </r>
  <r>
    <x v="517"/>
    <x v="6"/>
    <x v="1"/>
    <x v="4"/>
    <x v="2"/>
    <x v="32"/>
    <x v="4"/>
    <x v="141"/>
    <x v="31"/>
    <x v="17"/>
    <x v="0"/>
    <x v="3"/>
    <x v="0"/>
    <x v="2"/>
    <x v="0"/>
  </r>
  <r>
    <x v="518"/>
    <x v="3"/>
    <x v="1"/>
    <x v="3"/>
    <x v="1"/>
    <x v="30"/>
    <x v="1"/>
    <x v="141"/>
    <x v="62"/>
    <x v="20"/>
    <x v="0"/>
    <x v="3"/>
    <x v="0"/>
    <x v="2"/>
    <x v="0"/>
  </r>
  <r>
    <x v="519"/>
    <x v="3"/>
    <x v="1"/>
    <x v="3"/>
    <x v="1"/>
    <x v="145"/>
    <x v="1"/>
    <x v="142"/>
    <x v="10"/>
    <x v="14"/>
    <x v="0"/>
    <x v="4"/>
    <x v="2"/>
    <x v="0"/>
    <x v="0"/>
  </r>
  <r>
    <x v="520"/>
    <x v="14"/>
    <x v="1"/>
    <x v="12"/>
    <x v="2"/>
    <x v="121"/>
    <x v="1"/>
    <x v="142"/>
    <x v="9"/>
    <x v="19"/>
    <x v="0"/>
    <x v="4"/>
    <x v="2"/>
    <x v="0"/>
    <x v="0"/>
  </r>
  <r>
    <x v="521"/>
    <x v="7"/>
    <x v="1"/>
    <x v="2"/>
    <x v="2"/>
    <x v="75"/>
    <x v="4"/>
    <x v="142"/>
    <x v="80"/>
    <x v="12"/>
    <x v="0"/>
    <x v="4"/>
    <x v="0"/>
    <x v="2"/>
    <x v="0"/>
  </r>
  <r>
    <x v="522"/>
    <x v="12"/>
    <x v="1"/>
    <x v="10"/>
    <x v="0"/>
    <x v="56"/>
    <x v="2"/>
    <x v="143"/>
    <x v="48"/>
    <x v="4"/>
    <x v="0"/>
    <x v="6"/>
    <x v="1"/>
    <x v="0"/>
    <x v="0"/>
  </r>
  <r>
    <x v="523"/>
    <x v="5"/>
    <x v="1"/>
    <x v="5"/>
    <x v="2"/>
    <x v="52"/>
    <x v="4"/>
    <x v="143"/>
    <x v="99"/>
    <x v="2"/>
    <x v="0"/>
    <x v="6"/>
    <x v="1"/>
    <x v="0"/>
    <x v="0"/>
  </r>
  <r>
    <x v="524"/>
    <x v="11"/>
    <x v="1"/>
    <x v="9"/>
    <x v="2"/>
    <x v="4"/>
    <x v="1"/>
    <x v="144"/>
    <x v="62"/>
    <x v="30"/>
    <x v="0"/>
    <x v="0"/>
    <x v="2"/>
    <x v="3"/>
    <x v="0"/>
  </r>
  <r>
    <x v="525"/>
    <x v="2"/>
    <x v="0"/>
    <x v="2"/>
    <x v="1"/>
    <x v="29"/>
    <x v="4"/>
    <x v="144"/>
    <x v="100"/>
    <x v="5"/>
    <x v="0"/>
    <x v="0"/>
    <x v="0"/>
    <x v="2"/>
    <x v="0"/>
  </r>
  <r>
    <x v="526"/>
    <x v="12"/>
    <x v="1"/>
    <x v="10"/>
    <x v="0"/>
    <x v="13"/>
    <x v="2"/>
    <x v="145"/>
    <x v="31"/>
    <x v="17"/>
    <x v="0"/>
    <x v="1"/>
    <x v="2"/>
    <x v="2"/>
    <x v="0"/>
  </r>
  <r>
    <x v="527"/>
    <x v="9"/>
    <x v="1"/>
    <x v="7"/>
    <x v="1"/>
    <x v="13"/>
    <x v="2"/>
    <x v="145"/>
    <x v="31"/>
    <x v="17"/>
    <x v="0"/>
    <x v="1"/>
    <x v="2"/>
    <x v="2"/>
    <x v="0"/>
  </r>
  <r>
    <x v="528"/>
    <x v="1"/>
    <x v="0"/>
    <x v="1"/>
    <x v="0"/>
    <x v="87"/>
    <x v="1"/>
    <x v="145"/>
    <x v="87"/>
    <x v="5"/>
    <x v="0"/>
    <x v="1"/>
    <x v="1"/>
    <x v="2"/>
    <x v="0"/>
  </r>
  <r>
    <x v="529"/>
    <x v="10"/>
    <x v="0"/>
    <x v="8"/>
    <x v="1"/>
    <x v="111"/>
    <x v="1"/>
    <x v="146"/>
    <x v="78"/>
    <x v="20"/>
    <x v="0"/>
    <x v="2"/>
    <x v="1"/>
    <x v="2"/>
    <x v="0"/>
  </r>
  <r>
    <x v="530"/>
    <x v="13"/>
    <x v="0"/>
    <x v="11"/>
    <x v="1"/>
    <x v="1"/>
    <x v="4"/>
    <x v="147"/>
    <x v="93"/>
    <x v="11"/>
    <x v="0"/>
    <x v="3"/>
    <x v="0"/>
    <x v="2"/>
    <x v="0"/>
  </r>
  <r>
    <x v="531"/>
    <x v="1"/>
    <x v="0"/>
    <x v="1"/>
    <x v="0"/>
    <x v="58"/>
    <x v="2"/>
    <x v="148"/>
    <x v="32"/>
    <x v="12"/>
    <x v="0"/>
    <x v="4"/>
    <x v="0"/>
    <x v="2"/>
    <x v="0"/>
  </r>
  <r>
    <x v="532"/>
    <x v="10"/>
    <x v="0"/>
    <x v="8"/>
    <x v="1"/>
    <x v="44"/>
    <x v="4"/>
    <x v="149"/>
    <x v="44"/>
    <x v="8"/>
    <x v="0"/>
    <x v="5"/>
    <x v="2"/>
    <x v="2"/>
    <x v="0"/>
  </r>
  <r>
    <x v="533"/>
    <x v="7"/>
    <x v="1"/>
    <x v="2"/>
    <x v="2"/>
    <x v="118"/>
    <x v="0"/>
    <x v="149"/>
    <x v="90"/>
    <x v="17"/>
    <x v="0"/>
    <x v="5"/>
    <x v="1"/>
    <x v="2"/>
    <x v="0"/>
  </r>
  <r>
    <x v="534"/>
    <x v="6"/>
    <x v="1"/>
    <x v="4"/>
    <x v="2"/>
    <x v="52"/>
    <x v="4"/>
    <x v="149"/>
    <x v="21"/>
    <x v="18"/>
    <x v="0"/>
    <x v="5"/>
    <x v="1"/>
    <x v="2"/>
    <x v="0"/>
  </r>
  <r>
    <x v="535"/>
    <x v="8"/>
    <x v="0"/>
    <x v="6"/>
    <x v="2"/>
    <x v="77"/>
    <x v="4"/>
    <x v="149"/>
    <x v="84"/>
    <x v="14"/>
    <x v="0"/>
    <x v="5"/>
    <x v="0"/>
    <x v="0"/>
    <x v="0"/>
  </r>
  <r>
    <x v="536"/>
    <x v="5"/>
    <x v="1"/>
    <x v="5"/>
    <x v="2"/>
    <x v="15"/>
    <x v="2"/>
    <x v="150"/>
    <x v="67"/>
    <x v="11"/>
    <x v="0"/>
    <x v="6"/>
    <x v="0"/>
    <x v="2"/>
    <x v="0"/>
  </r>
  <r>
    <x v="537"/>
    <x v="14"/>
    <x v="1"/>
    <x v="12"/>
    <x v="2"/>
    <x v="75"/>
    <x v="3"/>
    <x v="151"/>
    <x v="3"/>
    <x v="17"/>
    <x v="0"/>
    <x v="0"/>
    <x v="0"/>
    <x v="2"/>
    <x v="0"/>
  </r>
  <r>
    <x v="538"/>
    <x v="4"/>
    <x v="1"/>
    <x v="4"/>
    <x v="0"/>
    <x v="52"/>
    <x v="0"/>
    <x v="151"/>
    <x v="95"/>
    <x v="5"/>
    <x v="0"/>
    <x v="0"/>
    <x v="1"/>
    <x v="2"/>
    <x v="0"/>
  </r>
  <r>
    <x v="539"/>
    <x v="0"/>
    <x v="0"/>
    <x v="0"/>
    <x v="0"/>
    <x v="56"/>
    <x v="2"/>
    <x v="151"/>
    <x v="62"/>
    <x v="19"/>
    <x v="0"/>
    <x v="0"/>
    <x v="1"/>
    <x v="0"/>
    <x v="0"/>
  </r>
  <r>
    <x v="540"/>
    <x v="8"/>
    <x v="0"/>
    <x v="6"/>
    <x v="2"/>
    <x v="51"/>
    <x v="4"/>
    <x v="152"/>
    <x v="68"/>
    <x v="7"/>
    <x v="0"/>
    <x v="1"/>
    <x v="0"/>
    <x v="1"/>
    <x v="0"/>
  </r>
  <r>
    <x v="541"/>
    <x v="8"/>
    <x v="0"/>
    <x v="6"/>
    <x v="2"/>
    <x v="110"/>
    <x v="0"/>
    <x v="153"/>
    <x v="59"/>
    <x v="19"/>
    <x v="0"/>
    <x v="2"/>
    <x v="1"/>
    <x v="0"/>
    <x v="0"/>
  </r>
  <r>
    <x v="542"/>
    <x v="8"/>
    <x v="0"/>
    <x v="6"/>
    <x v="2"/>
    <x v="73"/>
    <x v="0"/>
    <x v="153"/>
    <x v="64"/>
    <x v="10"/>
    <x v="0"/>
    <x v="2"/>
    <x v="2"/>
    <x v="2"/>
    <x v="0"/>
  </r>
  <r>
    <x v="543"/>
    <x v="11"/>
    <x v="1"/>
    <x v="9"/>
    <x v="2"/>
    <x v="119"/>
    <x v="2"/>
    <x v="154"/>
    <x v="104"/>
    <x v="9"/>
    <x v="0"/>
    <x v="3"/>
    <x v="1"/>
    <x v="2"/>
    <x v="0"/>
  </r>
  <r>
    <x v="544"/>
    <x v="6"/>
    <x v="1"/>
    <x v="4"/>
    <x v="2"/>
    <x v="127"/>
    <x v="1"/>
    <x v="154"/>
    <x v="2"/>
    <x v="7"/>
    <x v="0"/>
    <x v="3"/>
    <x v="1"/>
    <x v="1"/>
    <x v="0"/>
  </r>
  <r>
    <x v="545"/>
    <x v="1"/>
    <x v="0"/>
    <x v="1"/>
    <x v="0"/>
    <x v="95"/>
    <x v="4"/>
    <x v="155"/>
    <x v="93"/>
    <x v="23"/>
    <x v="0"/>
    <x v="4"/>
    <x v="0"/>
    <x v="1"/>
    <x v="0"/>
  </r>
  <r>
    <x v="546"/>
    <x v="12"/>
    <x v="1"/>
    <x v="10"/>
    <x v="0"/>
    <x v="67"/>
    <x v="3"/>
    <x v="155"/>
    <x v="15"/>
    <x v="10"/>
    <x v="0"/>
    <x v="4"/>
    <x v="0"/>
    <x v="2"/>
    <x v="0"/>
  </r>
  <r>
    <x v="547"/>
    <x v="4"/>
    <x v="1"/>
    <x v="4"/>
    <x v="0"/>
    <x v="6"/>
    <x v="4"/>
    <x v="155"/>
    <x v="31"/>
    <x v="13"/>
    <x v="0"/>
    <x v="4"/>
    <x v="0"/>
    <x v="0"/>
    <x v="0"/>
  </r>
  <r>
    <x v="548"/>
    <x v="2"/>
    <x v="0"/>
    <x v="2"/>
    <x v="1"/>
    <x v="130"/>
    <x v="2"/>
    <x v="155"/>
    <x v="36"/>
    <x v="8"/>
    <x v="0"/>
    <x v="4"/>
    <x v="0"/>
    <x v="2"/>
    <x v="0"/>
  </r>
  <r>
    <x v="549"/>
    <x v="2"/>
    <x v="0"/>
    <x v="2"/>
    <x v="1"/>
    <x v="8"/>
    <x v="0"/>
    <x v="155"/>
    <x v="16"/>
    <x v="11"/>
    <x v="0"/>
    <x v="4"/>
    <x v="2"/>
    <x v="2"/>
    <x v="0"/>
  </r>
  <r>
    <x v="550"/>
    <x v="12"/>
    <x v="1"/>
    <x v="10"/>
    <x v="0"/>
    <x v="76"/>
    <x v="2"/>
    <x v="156"/>
    <x v="70"/>
    <x v="4"/>
    <x v="0"/>
    <x v="5"/>
    <x v="1"/>
    <x v="0"/>
    <x v="0"/>
  </r>
  <r>
    <x v="551"/>
    <x v="4"/>
    <x v="1"/>
    <x v="4"/>
    <x v="0"/>
    <x v="35"/>
    <x v="4"/>
    <x v="157"/>
    <x v="25"/>
    <x v="18"/>
    <x v="0"/>
    <x v="6"/>
    <x v="1"/>
    <x v="2"/>
    <x v="0"/>
  </r>
  <r>
    <x v="552"/>
    <x v="0"/>
    <x v="0"/>
    <x v="0"/>
    <x v="0"/>
    <x v="32"/>
    <x v="3"/>
    <x v="157"/>
    <x v="54"/>
    <x v="20"/>
    <x v="0"/>
    <x v="6"/>
    <x v="0"/>
    <x v="2"/>
    <x v="0"/>
  </r>
  <r>
    <x v="553"/>
    <x v="14"/>
    <x v="1"/>
    <x v="12"/>
    <x v="2"/>
    <x v="99"/>
    <x v="4"/>
    <x v="158"/>
    <x v="77"/>
    <x v="4"/>
    <x v="0"/>
    <x v="0"/>
    <x v="0"/>
    <x v="0"/>
    <x v="0"/>
  </r>
  <r>
    <x v="554"/>
    <x v="6"/>
    <x v="1"/>
    <x v="4"/>
    <x v="2"/>
    <x v="106"/>
    <x v="3"/>
    <x v="158"/>
    <x v="100"/>
    <x v="4"/>
    <x v="0"/>
    <x v="0"/>
    <x v="0"/>
    <x v="0"/>
    <x v="0"/>
  </r>
  <r>
    <x v="555"/>
    <x v="5"/>
    <x v="1"/>
    <x v="5"/>
    <x v="2"/>
    <x v="4"/>
    <x v="4"/>
    <x v="159"/>
    <x v="59"/>
    <x v="1"/>
    <x v="0"/>
    <x v="1"/>
    <x v="2"/>
    <x v="1"/>
    <x v="0"/>
  </r>
  <r>
    <x v="556"/>
    <x v="8"/>
    <x v="0"/>
    <x v="6"/>
    <x v="2"/>
    <x v="146"/>
    <x v="2"/>
    <x v="160"/>
    <x v="95"/>
    <x v="8"/>
    <x v="0"/>
    <x v="2"/>
    <x v="0"/>
    <x v="2"/>
    <x v="0"/>
  </r>
  <r>
    <x v="557"/>
    <x v="14"/>
    <x v="1"/>
    <x v="12"/>
    <x v="2"/>
    <x v="151"/>
    <x v="3"/>
    <x v="160"/>
    <x v="64"/>
    <x v="41"/>
    <x v="0"/>
    <x v="2"/>
    <x v="1"/>
    <x v="5"/>
    <x v="0"/>
  </r>
  <r>
    <x v="558"/>
    <x v="2"/>
    <x v="0"/>
    <x v="2"/>
    <x v="1"/>
    <x v="49"/>
    <x v="1"/>
    <x v="161"/>
    <x v="90"/>
    <x v="7"/>
    <x v="0"/>
    <x v="3"/>
    <x v="1"/>
    <x v="1"/>
    <x v="0"/>
  </r>
  <r>
    <x v="559"/>
    <x v="2"/>
    <x v="0"/>
    <x v="2"/>
    <x v="1"/>
    <x v="21"/>
    <x v="1"/>
    <x v="161"/>
    <x v="75"/>
    <x v="34"/>
    <x v="0"/>
    <x v="3"/>
    <x v="0"/>
    <x v="1"/>
    <x v="0"/>
  </r>
  <r>
    <x v="560"/>
    <x v="5"/>
    <x v="1"/>
    <x v="5"/>
    <x v="2"/>
    <x v="24"/>
    <x v="4"/>
    <x v="161"/>
    <x v="37"/>
    <x v="2"/>
    <x v="0"/>
    <x v="3"/>
    <x v="0"/>
    <x v="0"/>
    <x v="0"/>
  </r>
  <r>
    <x v="561"/>
    <x v="13"/>
    <x v="0"/>
    <x v="11"/>
    <x v="1"/>
    <x v="8"/>
    <x v="2"/>
    <x v="161"/>
    <x v="105"/>
    <x v="35"/>
    <x v="0"/>
    <x v="3"/>
    <x v="2"/>
    <x v="1"/>
    <x v="0"/>
  </r>
  <r>
    <x v="562"/>
    <x v="13"/>
    <x v="0"/>
    <x v="11"/>
    <x v="1"/>
    <x v="9"/>
    <x v="0"/>
    <x v="161"/>
    <x v="103"/>
    <x v="18"/>
    <x v="0"/>
    <x v="3"/>
    <x v="0"/>
    <x v="2"/>
    <x v="0"/>
  </r>
  <r>
    <x v="563"/>
    <x v="11"/>
    <x v="1"/>
    <x v="9"/>
    <x v="2"/>
    <x v="33"/>
    <x v="0"/>
    <x v="161"/>
    <x v="83"/>
    <x v="4"/>
    <x v="0"/>
    <x v="3"/>
    <x v="0"/>
    <x v="0"/>
    <x v="0"/>
  </r>
  <r>
    <x v="564"/>
    <x v="5"/>
    <x v="1"/>
    <x v="5"/>
    <x v="2"/>
    <x v="143"/>
    <x v="2"/>
    <x v="162"/>
    <x v="63"/>
    <x v="17"/>
    <x v="0"/>
    <x v="5"/>
    <x v="2"/>
    <x v="2"/>
    <x v="0"/>
  </r>
  <r>
    <x v="565"/>
    <x v="5"/>
    <x v="1"/>
    <x v="5"/>
    <x v="2"/>
    <x v="33"/>
    <x v="1"/>
    <x v="162"/>
    <x v="64"/>
    <x v="34"/>
    <x v="0"/>
    <x v="5"/>
    <x v="0"/>
    <x v="1"/>
    <x v="0"/>
  </r>
  <r>
    <x v="566"/>
    <x v="2"/>
    <x v="0"/>
    <x v="2"/>
    <x v="1"/>
    <x v="74"/>
    <x v="0"/>
    <x v="162"/>
    <x v="9"/>
    <x v="1"/>
    <x v="0"/>
    <x v="5"/>
    <x v="0"/>
    <x v="1"/>
    <x v="0"/>
  </r>
  <r>
    <x v="567"/>
    <x v="7"/>
    <x v="1"/>
    <x v="2"/>
    <x v="2"/>
    <x v="38"/>
    <x v="4"/>
    <x v="162"/>
    <x v="40"/>
    <x v="13"/>
    <x v="0"/>
    <x v="5"/>
    <x v="0"/>
    <x v="0"/>
    <x v="0"/>
  </r>
  <r>
    <x v="568"/>
    <x v="2"/>
    <x v="0"/>
    <x v="2"/>
    <x v="1"/>
    <x v="114"/>
    <x v="0"/>
    <x v="163"/>
    <x v="85"/>
    <x v="19"/>
    <x v="0"/>
    <x v="6"/>
    <x v="1"/>
    <x v="0"/>
    <x v="0"/>
  </r>
  <r>
    <x v="569"/>
    <x v="9"/>
    <x v="1"/>
    <x v="7"/>
    <x v="1"/>
    <x v="41"/>
    <x v="3"/>
    <x v="163"/>
    <x v="8"/>
    <x v="35"/>
    <x v="0"/>
    <x v="6"/>
    <x v="0"/>
    <x v="1"/>
    <x v="0"/>
  </r>
  <r>
    <x v="570"/>
    <x v="7"/>
    <x v="1"/>
    <x v="2"/>
    <x v="2"/>
    <x v="142"/>
    <x v="2"/>
    <x v="164"/>
    <x v="33"/>
    <x v="19"/>
    <x v="0"/>
    <x v="0"/>
    <x v="2"/>
    <x v="0"/>
    <x v="0"/>
  </r>
  <r>
    <x v="571"/>
    <x v="5"/>
    <x v="1"/>
    <x v="5"/>
    <x v="2"/>
    <x v="114"/>
    <x v="4"/>
    <x v="164"/>
    <x v="12"/>
    <x v="14"/>
    <x v="0"/>
    <x v="0"/>
    <x v="1"/>
    <x v="0"/>
    <x v="0"/>
  </r>
  <r>
    <x v="572"/>
    <x v="8"/>
    <x v="0"/>
    <x v="6"/>
    <x v="2"/>
    <x v="122"/>
    <x v="2"/>
    <x v="165"/>
    <x v="65"/>
    <x v="20"/>
    <x v="0"/>
    <x v="1"/>
    <x v="1"/>
    <x v="2"/>
    <x v="0"/>
  </r>
  <r>
    <x v="573"/>
    <x v="2"/>
    <x v="0"/>
    <x v="2"/>
    <x v="1"/>
    <x v="116"/>
    <x v="1"/>
    <x v="165"/>
    <x v="104"/>
    <x v="21"/>
    <x v="0"/>
    <x v="1"/>
    <x v="1"/>
    <x v="3"/>
    <x v="0"/>
  </r>
  <r>
    <x v="574"/>
    <x v="5"/>
    <x v="1"/>
    <x v="5"/>
    <x v="2"/>
    <x v="121"/>
    <x v="0"/>
    <x v="165"/>
    <x v="92"/>
    <x v="12"/>
    <x v="0"/>
    <x v="1"/>
    <x v="2"/>
    <x v="2"/>
    <x v="0"/>
  </r>
  <r>
    <x v="575"/>
    <x v="11"/>
    <x v="1"/>
    <x v="9"/>
    <x v="2"/>
    <x v="7"/>
    <x v="4"/>
    <x v="165"/>
    <x v="60"/>
    <x v="10"/>
    <x v="0"/>
    <x v="1"/>
    <x v="2"/>
    <x v="2"/>
    <x v="0"/>
  </r>
  <r>
    <x v="576"/>
    <x v="4"/>
    <x v="1"/>
    <x v="4"/>
    <x v="0"/>
    <x v="128"/>
    <x v="2"/>
    <x v="165"/>
    <x v="59"/>
    <x v="14"/>
    <x v="0"/>
    <x v="1"/>
    <x v="3"/>
    <x v="0"/>
    <x v="0"/>
  </r>
  <r>
    <x v="577"/>
    <x v="1"/>
    <x v="0"/>
    <x v="1"/>
    <x v="0"/>
    <x v="35"/>
    <x v="3"/>
    <x v="166"/>
    <x v="28"/>
    <x v="13"/>
    <x v="0"/>
    <x v="2"/>
    <x v="1"/>
    <x v="0"/>
    <x v="0"/>
  </r>
  <r>
    <x v="578"/>
    <x v="7"/>
    <x v="1"/>
    <x v="2"/>
    <x v="2"/>
    <x v="47"/>
    <x v="1"/>
    <x v="166"/>
    <x v="63"/>
    <x v="37"/>
    <x v="0"/>
    <x v="2"/>
    <x v="0"/>
    <x v="3"/>
    <x v="0"/>
  </r>
  <r>
    <x v="579"/>
    <x v="9"/>
    <x v="1"/>
    <x v="7"/>
    <x v="1"/>
    <x v="10"/>
    <x v="3"/>
    <x v="166"/>
    <x v="5"/>
    <x v="12"/>
    <x v="0"/>
    <x v="2"/>
    <x v="1"/>
    <x v="2"/>
    <x v="0"/>
  </r>
  <r>
    <x v="580"/>
    <x v="6"/>
    <x v="1"/>
    <x v="4"/>
    <x v="2"/>
    <x v="58"/>
    <x v="1"/>
    <x v="166"/>
    <x v="59"/>
    <x v="8"/>
    <x v="0"/>
    <x v="2"/>
    <x v="0"/>
    <x v="2"/>
    <x v="0"/>
  </r>
  <r>
    <x v="581"/>
    <x v="8"/>
    <x v="0"/>
    <x v="6"/>
    <x v="2"/>
    <x v="24"/>
    <x v="0"/>
    <x v="167"/>
    <x v="12"/>
    <x v="22"/>
    <x v="0"/>
    <x v="3"/>
    <x v="0"/>
    <x v="1"/>
    <x v="0"/>
  </r>
  <r>
    <x v="582"/>
    <x v="13"/>
    <x v="0"/>
    <x v="11"/>
    <x v="1"/>
    <x v="16"/>
    <x v="0"/>
    <x v="167"/>
    <x v="85"/>
    <x v="1"/>
    <x v="0"/>
    <x v="3"/>
    <x v="3"/>
    <x v="1"/>
    <x v="0"/>
  </r>
  <r>
    <x v="583"/>
    <x v="6"/>
    <x v="1"/>
    <x v="4"/>
    <x v="2"/>
    <x v="9"/>
    <x v="3"/>
    <x v="168"/>
    <x v="51"/>
    <x v="23"/>
    <x v="0"/>
    <x v="4"/>
    <x v="0"/>
    <x v="1"/>
    <x v="0"/>
  </r>
  <r>
    <x v="584"/>
    <x v="7"/>
    <x v="1"/>
    <x v="2"/>
    <x v="2"/>
    <x v="73"/>
    <x v="3"/>
    <x v="169"/>
    <x v="2"/>
    <x v="23"/>
    <x v="0"/>
    <x v="5"/>
    <x v="2"/>
    <x v="1"/>
    <x v="0"/>
  </r>
  <r>
    <x v="585"/>
    <x v="3"/>
    <x v="1"/>
    <x v="3"/>
    <x v="1"/>
    <x v="6"/>
    <x v="3"/>
    <x v="169"/>
    <x v="71"/>
    <x v="14"/>
    <x v="0"/>
    <x v="5"/>
    <x v="0"/>
    <x v="0"/>
    <x v="0"/>
  </r>
  <r>
    <x v="586"/>
    <x v="8"/>
    <x v="0"/>
    <x v="6"/>
    <x v="2"/>
    <x v="31"/>
    <x v="0"/>
    <x v="170"/>
    <x v="86"/>
    <x v="10"/>
    <x v="1"/>
    <x v="6"/>
    <x v="0"/>
    <x v="2"/>
    <x v="0"/>
  </r>
  <r>
    <x v="587"/>
    <x v="12"/>
    <x v="1"/>
    <x v="10"/>
    <x v="0"/>
    <x v="117"/>
    <x v="3"/>
    <x v="170"/>
    <x v="24"/>
    <x v="18"/>
    <x v="1"/>
    <x v="6"/>
    <x v="0"/>
    <x v="2"/>
    <x v="0"/>
  </r>
  <r>
    <x v="588"/>
    <x v="3"/>
    <x v="1"/>
    <x v="3"/>
    <x v="1"/>
    <x v="39"/>
    <x v="3"/>
    <x v="170"/>
    <x v="48"/>
    <x v="32"/>
    <x v="1"/>
    <x v="6"/>
    <x v="2"/>
    <x v="3"/>
    <x v="0"/>
  </r>
  <r>
    <x v="589"/>
    <x v="13"/>
    <x v="0"/>
    <x v="11"/>
    <x v="1"/>
    <x v="112"/>
    <x v="0"/>
    <x v="170"/>
    <x v="93"/>
    <x v="18"/>
    <x v="1"/>
    <x v="6"/>
    <x v="1"/>
    <x v="2"/>
    <x v="0"/>
  </r>
  <r>
    <x v="590"/>
    <x v="13"/>
    <x v="0"/>
    <x v="11"/>
    <x v="1"/>
    <x v="88"/>
    <x v="2"/>
    <x v="170"/>
    <x v="71"/>
    <x v="22"/>
    <x v="1"/>
    <x v="6"/>
    <x v="1"/>
    <x v="1"/>
    <x v="0"/>
  </r>
  <r>
    <x v="591"/>
    <x v="10"/>
    <x v="0"/>
    <x v="8"/>
    <x v="1"/>
    <x v="3"/>
    <x v="1"/>
    <x v="170"/>
    <x v="21"/>
    <x v="12"/>
    <x v="1"/>
    <x v="6"/>
    <x v="1"/>
    <x v="2"/>
    <x v="0"/>
  </r>
  <r>
    <x v="592"/>
    <x v="7"/>
    <x v="1"/>
    <x v="2"/>
    <x v="2"/>
    <x v="50"/>
    <x v="1"/>
    <x v="171"/>
    <x v="72"/>
    <x v="5"/>
    <x v="1"/>
    <x v="0"/>
    <x v="0"/>
    <x v="2"/>
    <x v="0"/>
  </r>
  <r>
    <x v="593"/>
    <x v="10"/>
    <x v="0"/>
    <x v="8"/>
    <x v="1"/>
    <x v="12"/>
    <x v="3"/>
    <x v="171"/>
    <x v="91"/>
    <x v="5"/>
    <x v="1"/>
    <x v="0"/>
    <x v="1"/>
    <x v="2"/>
    <x v="0"/>
  </r>
  <r>
    <x v="594"/>
    <x v="6"/>
    <x v="1"/>
    <x v="4"/>
    <x v="2"/>
    <x v="66"/>
    <x v="4"/>
    <x v="172"/>
    <x v="21"/>
    <x v="21"/>
    <x v="1"/>
    <x v="2"/>
    <x v="0"/>
    <x v="3"/>
    <x v="0"/>
  </r>
  <r>
    <x v="595"/>
    <x v="1"/>
    <x v="0"/>
    <x v="1"/>
    <x v="0"/>
    <x v="82"/>
    <x v="0"/>
    <x v="173"/>
    <x v="31"/>
    <x v="8"/>
    <x v="1"/>
    <x v="3"/>
    <x v="2"/>
    <x v="2"/>
    <x v="0"/>
  </r>
  <r>
    <x v="596"/>
    <x v="6"/>
    <x v="1"/>
    <x v="4"/>
    <x v="2"/>
    <x v="2"/>
    <x v="3"/>
    <x v="173"/>
    <x v="102"/>
    <x v="22"/>
    <x v="1"/>
    <x v="3"/>
    <x v="0"/>
    <x v="1"/>
    <x v="0"/>
  </r>
  <r>
    <x v="597"/>
    <x v="4"/>
    <x v="1"/>
    <x v="4"/>
    <x v="0"/>
    <x v="3"/>
    <x v="3"/>
    <x v="173"/>
    <x v="93"/>
    <x v="24"/>
    <x v="1"/>
    <x v="3"/>
    <x v="1"/>
    <x v="3"/>
    <x v="0"/>
  </r>
  <r>
    <x v="598"/>
    <x v="0"/>
    <x v="0"/>
    <x v="0"/>
    <x v="0"/>
    <x v="9"/>
    <x v="0"/>
    <x v="174"/>
    <x v="63"/>
    <x v="3"/>
    <x v="1"/>
    <x v="4"/>
    <x v="0"/>
    <x v="1"/>
    <x v="0"/>
  </r>
  <r>
    <x v="599"/>
    <x v="10"/>
    <x v="0"/>
    <x v="8"/>
    <x v="1"/>
    <x v="143"/>
    <x v="2"/>
    <x v="174"/>
    <x v="28"/>
    <x v="14"/>
    <x v="1"/>
    <x v="4"/>
    <x v="2"/>
    <x v="0"/>
    <x v="0"/>
  </r>
  <r>
    <x v="600"/>
    <x v="4"/>
    <x v="1"/>
    <x v="4"/>
    <x v="0"/>
    <x v="71"/>
    <x v="1"/>
    <x v="175"/>
    <x v="54"/>
    <x v="14"/>
    <x v="1"/>
    <x v="5"/>
    <x v="2"/>
    <x v="0"/>
    <x v="0"/>
  </r>
  <r>
    <x v="601"/>
    <x v="3"/>
    <x v="1"/>
    <x v="3"/>
    <x v="1"/>
    <x v="99"/>
    <x v="3"/>
    <x v="175"/>
    <x v="88"/>
    <x v="14"/>
    <x v="1"/>
    <x v="5"/>
    <x v="0"/>
    <x v="0"/>
    <x v="0"/>
  </r>
  <r>
    <x v="602"/>
    <x v="8"/>
    <x v="0"/>
    <x v="6"/>
    <x v="2"/>
    <x v="117"/>
    <x v="2"/>
    <x v="176"/>
    <x v="27"/>
    <x v="4"/>
    <x v="1"/>
    <x v="6"/>
    <x v="0"/>
    <x v="0"/>
    <x v="0"/>
  </r>
  <r>
    <x v="603"/>
    <x v="5"/>
    <x v="1"/>
    <x v="5"/>
    <x v="2"/>
    <x v="4"/>
    <x v="2"/>
    <x v="176"/>
    <x v="77"/>
    <x v="19"/>
    <x v="1"/>
    <x v="6"/>
    <x v="2"/>
    <x v="0"/>
    <x v="0"/>
  </r>
  <r>
    <x v="604"/>
    <x v="8"/>
    <x v="0"/>
    <x v="6"/>
    <x v="2"/>
    <x v="113"/>
    <x v="0"/>
    <x v="176"/>
    <x v="103"/>
    <x v="14"/>
    <x v="1"/>
    <x v="6"/>
    <x v="0"/>
    <x v="0"/>
    <x v="0"/>
  </r>
  <r>
    <x v="605"/>
    <x v="1"/>
    <x v="0"/>
    <x v="1"/>
    <x v="0"/>
    <x v="54"/>
    <x v="0"/>
    <x v="176"/>
    <x v="45"/>
    <x v="13"/>
    <x v="1"/>
    <x v="6"/>
    <x v="2"/>
    <x v="0"/>
    <x v="0"/>
  </r>
  <r>
    <x v="606"/>
    <x v="8"/>
    <x v="0"/>
    <x v="6"/>
    <x v="2"/>
    <x v="143"/>
    <x v="3"/>
    <x v="176"/>
    <x v="28"/>
    <x v="4"/>
    <x v="1"/>
    <x v="6"/>
    <x v="2"/>
    <x v="0"/>
    <x v="0"/>
  </r>
  <r>
    <x v="607"/>
    <x v="2"/>
    <x v="0"/>
    <x v="2"/>
    <x v="1"/>
    <x v="106"/>
    <x v="4"/>
    <x v="177"/>
    <x v="46"/>
    <x v="8"/>
    <x v="1"/>
    <x v="0"/>
    <x v="0"/>
    <x v="2"/>
    <x v="0"/>
  </r>
  <r>
    <x v="608"/>
    <x v="9"/>
    <x v="1"/>
    <x v="7"/>
    <x v="1"/>
    <x v="11"/>
    <x v="4"/>
    <x v="178"/>
    <x v="58"/>
    <x v="7"/>
    <x v="1"/>
    <x v="1"/>
    <x v="0"/>
    <x v="1"/>
    <x v="0"/>
  </r>
  <r>
    <x v="609"/>
    <x v="11"/>
    <x v="1"/>
    <x v="9"/>
    <x v="2"/>
    <x v="143"/>
    <x v="4"/>
    <x v="178"/>
    <x v="104"/>
    <x v="16"/>
    <x v="1"/>
    <x v="1"/>
    <x v="2"/>
    <x v="1"/>
    <x v="0"/>
  </r>
  <r>
    <x v="610"/>
    <x v="4"/>
    <x v="1"/>
    <x v="4"/>
    <x v="0"/>
    <x v="85"/>
    <x v="2"/>
    <x v="178"/>
    <x v="84"/>
    <x v="0"/>
    <x v="1"/>
    <x v="1"/>
    <x v="1"/>
    <x v="0"/>
    <x v="0"/>
  </r>
  <r>
    <x v="611"/>
    <x v="14"/>
    <x v="1"/>
    <x v="12"/>
    <x v="2"/>
    <x v="37"/>
    <x v="1"/>
    <x v="179"/>
    <x v="103"/>
    <x v="14"/>
    <x v="1"/>
    <x v="2"/>
    <x v="1"/>
    <x v="0"/>
    <x v="0"/>
  </r>
  <r>
    <x v="612"/>
    <x v="2"/>
    <x v="0"/>
    <x v="2"/>
    <x v="1"/>
    <x v="21"/>
    <x v="1"/>
    <x v="180"/>
    <x v="90"/>
    <x v="4"/>
    <x v="1"/>
    <x v="3"/>
    <x v="0"/>
    <x v="0"/>
    <x v="0"/>
  </r>
  <r>
    <x v="613"/>
    <x v="7"/>
    <x v="1"/>
    <x v="2"/>
    <x v="2"/>
    <x v="64"/>
    <x v="4"/>
    <x v="180"/>
    <x v="59"/>
    <x v="4"/>
    <x v="1"/>
    <x v="3"/>
    <x v="2"/>
    <x v="0"/>
    <x v="0"/>
  </r>
  <r>
    <x v="614"/>
    <x v="10"/>
    <x v="0"/>
    <x v="8"/>
    <x v="1"/>
    <x v="59"/>
    <x v="3"/>
    <x v="180"/>
    <x v="74"/>
    <x v="10"/>
    <x v="1"/>
    <x v="3"/>
    <x v="0"/>
    <x v="2"/>
    <x v="0"/>
  </r>
  <r>
    <x v="615"/>
    <x v="9"/>
    <x v="1"/>
    <x v="7"/>
    <x v="1"/>
    <x v="53"/>
    <x v="1"/>
    <x v="181"/>
    <x v="36"/>
    <x v="10"/>
    <x v="1"/>
    <x v="4"/>
    <x v="0"/>
    <x v="2"/>
    <x v="0"/>
  </r>
  <r>
    <x v="616"/>
    <x v="14"/>
    <x v="1"/>
    <x v="12"/>
    <x v="2"/>
    <x v="147"/>
    <x v="2"/>
    <x v="181"/>
    <x v="79"/>
    <x v="20"/>
    <x v="1"/>
    <x v="4"/>
    <x v="2"/>
    <x v="2"/>
    <x v="0"/>
  </r>
  <r>
    <x v="617"/>
    <x v="1"/>
    <x v="0"/>
    <x v="1"/>
    <x v="0"/>
    <x v="7"/>
    <x v="0"/>
    <x v="182"/>
    <x v="59"/>
    <x v="4"/>
    <x v="1"/>
    <x v="5"/>
    <x v="2"/>
    <x v="0"/>
    <x v="0"/>
  </r>
  <r>
    <x v="618"/>
    <x v="7"/>
    <x v="1"/>
    <x v="2"/>
    <x v="2"/>
    <x v="57"/>
    <x v="2"/>
    <x v="182"/>
    <x v="18"/>
    <x v="8"/>
    <x v="1"/>
    <x v="5"/>
    <x v="1"/>
    <x v="2"/>
    <x v="0"/>
  </r>
  <r>
    <x v="619"/>
    <x v="2"/>
    <x v="0"/>
    <x v="2"/>
    <x v="1"/>
    <x v="75"/>
    <x v="3"/>
    <x v="183"/>
    <x v="41"/>
    <x v="18"/>
    <x v="1"/>
    <x v="6"/>
    <x v="0"/>
    <x v="2"/>
    <x v="0"/>
  </r>
  <r>
    <x v="620"/>
    <x v="1"/>
    <x v="0"/>
    <x v="1"/>
    <x v="0"/>
    <x v="24"/>
    <x v="2"/>
    <x v="184"/>
    <x v="66"/>
    <x v="0"/>
    <x v="1"/>
    <x v="0"/>
    <x v="0"/>
    <x v="0"/>
    <x v="0"/>
  </r>
  <r>
    <x v="621"/>
    <x v="0"/>
    <x v="0"/>
    <x v="0"/>
    <x v="0"/>
    <x v="39"/>
    <x v="2"/>
    <x v="184"/>
    <x v="55"/>
    <x v="19"/>
    <x v="1"/>
    <x v="0"/>
    <x v="2"/>
    <x v="0"/>
    <x v="0"/>
  </r>
  <r>
    <x v="622"/>
    <x v="13"/>
    <x v="0"/>
    <x v="11"/>
    <x v="1"/>
    <x v="65"/>
    <x v="2"/>
    <x v="185"/>
    <x v="59"/>
    <x v="27"/>
    <x v="1"/>
    <x v="1"/>
    <x v="1"/>
    <x v="1"/>
    <x v="0"/>
  </r>
  <r>
    <x v="623"/>
    <x v="9"/>
    <x v="1"/>
    <x v="7"/>
    <x v="1"/>
    <x v="114"/>
    <x v="3"/>
    <x v="185"/>
    <x v="24"/>
    <x v="34"/>
    <x v="1"/>
    <x v="1"/>
    <x v="1"/>
    <x v="1"/>
    <x v="0"/>
  </r>
  <r>
    <x v="624"/>
    <x v="12"/>
    <x v="1"/>
    <x v="10"/>
    <x v="0"/>
    <x v="28"/>
    <x v="3"/>
    <x v="186"/>
    <x v="92"/>
    <x v="2"/>
    <x v="1"/>
    <x v="2"/>
    <x v="0"/>
    <x v="0"/>
    <x v="0"/>
  </r>
  <r>
    <x v="625"/>
    <x v="0"/>
    <x v="0"/>
    <x v="0"/>
    <x v="0"/>
    <x v="77"/>
    <x v="4"/>
    <x v="187"/>
    <x v="59"/>
    <x v="10"/>
    <x v="1"/>
    <x v="3"/>
    <x v="0"/>
    <x v="2"/>
    <x v="0"/>
  </r>
  <r>
    <x v="626"/>
    <x v="1"/>
    <x v="0"/>
    <x v="1"/>
    <x v="0"/>
    <x v="111"/>
    <x v="4"/>
    <x v="187"/>
    <x v="84"/>
    <x v="3"/>
    <x v="1"/>
    <x v="3"/>
    <x v="1"/>
    <x v="1"/>
    <x v="0"/>
  </r>
  <r>
    <x v="627"/>
    <x v="14"/>
    <x v="1"/>
    <x v="12"/>
    <x v="2"/>
    <x v="66"/>
    <x v="0"/>
    <x v="187"/>
    <x v="32"/>
    <x v="22"/>
    <x v="1"/>
    <x v="3"/>
    <x v="0"/>
    <x v="1"/>
    <x v="0"/>
  </r>
  <r>
    <x v="628"/>
    <x v="9"/>
    <x v="1"/>
    <x v="7"/>
    <x v="1"/>
    <x v="152"/>
    <x v="2"/>
    <x v="188"/>
    <x v="79"/>
    <x v="18"/>
    <x v="1"/>
    <x v="4"/>
    <x v="1"/>
    <x v="2"/>
    <x v="0"/>
  </r>
  <r>
    <x v="629"/>
    <x v="1"/>
    <x v="0"/>
    <x v="1"/>
    <x v="0"/>
    <x v="108"/>
    <x v="3"/>
    <x v="188"/>
    <x v="79"/>
    <x v="12"/>
    <x v="1"/>
    <x v="4"/>
    <x v="2"/>
    <x v="2"/>
    <x v="0"/>
  </r>
  <r>
    <x v="630"/>
    <x v="1"/>
    <x v="0"/>
    <x v="1"/>
    <x v="0"/>
    <x v="110"/>
    <x v="1"/>
    <x v="188"/>
    <x v="88"/>
    <x v="34"/>
    <x v="1"/>
    <x v="4"/>
    <x v="1"/>
    <x v="1"/>
    <x v="0"/>
  </r>
  <r>
    <x v="631"/>
    <x v="9"/>
    <x v="1"/>
    <x v="7"/>
    <x v="1"/>
    <x v="103"/>
    <x v="3"/>
    <x v="189"/>
    <x v="54"/>
    <x v="24"/>
    <x v="1"/>
    <x v="5"/>
    <x v="2"/>
    <x v="3"/>
    <x v="0"/>
  </r>
  <r>
    <x v="632"/>
    <x v="3"/>
    <x v="1"/>
    <x v="3"/>
    <x v="1"/>
    <x v="73"/>
    <x v="2"/>
    <x v="189"/>
    <x v="5"/>
    <x v="24"/>
    <x v="1"/>
    <x v="5"/>
    <x v="2"/>
    <x v="3"/>
    <x v="0"/>
  </r>
  <r>
    <x v="633"/>
    <x v="3"/>
    <x v="1"/>
    <x v="3"/>
    <x v="1"/>
    <x v="111"/>
    <x v="2"/>
    <x v="190"/>
    <x v="71"/>
    <x v="1"/>
    <x v="1"/>
    <x v="6"/>
    <x v="1"/>
    <x v="1"/>
    <x v="0"/>
  </r>
  <r>
    <x v="634"/>
    <x v="4"/>
    <x v="1"/>
    <x v="4"/>
    <x v="0"/>
    <x v="19"/>
    <x v="2"/>
    <x v="190"/>
    <x v="100"/>
    <x v="18"/>
    <x v="1"/>
    <x v="6"/>
    <x v="0"/>
    <x v="2"/>
    <x v="0"/>
  </r>
  <r>
    <x v="635"/>
    <x v="9"/>
    <x v="1"/>
    <x v="7"/>
    <x v="1"/>
    <x v="153"/>
    <x v="0"/>
    <x v="190"/>
    <x v="95"/>
    <x v="19"/>
    <x v="1"/>
    <x v="6"/>
    <x v="1"/>
    <x v="0"/>
    <x v="0"/>
  </r>
  <r>
    <x v="636"/>
    <x v="3"/>
    <x v="1"/>
    <x v="3"/>
    <x v="1"/>
    <x v="69"/>
    <x v="1"/>
    <x v="191"/>
    <x v="29"/>
    <x v="14"/>
    <x v="1"/>
    <x v="2"/>
    <x v="0"/>
    <x v="0"/>
    <x v="0"/>
  </r>
  <r>
    <x v="637"/>
    <x v="11"/>
    <x v="1"/>
    <x v="9"/>
    <x v="2"/>
    <x v="154"/>
    <x v="4"/>
    <x v="192"/>
    <x v="18"/>
    <x v="20"/>
    <x v="1"/>
    <x v="3"/>
    <x v="4"/>
    <x v="2"/>
    <x v="0"/>
  </r>
  <r>
    <x v="638"/>
    <x v="1"/>
    <x v="0"/>
    <x v="1"/>
    <x v="0"/>
    <x v="87"/>
    <x v="4"/>
    <x v="192"/>
    <x v="14"/>
    <x v="17"/>
    <x v="1"/>
    <x v="3"/>
    <x v="1"/>
    <x v="2"/>
    <x v="0"/>
  </r>
  <r>
    <x v="639"/>
    <x v="9"/>
    <x v="1"/>
    <x v="7"/>
    <x v="1"/>
    <x v="7"/>
    <x v="4"/>
    <x v="193"/>
    <x v="42"/>
    <x v="7"/>
    <x v="1"/>
    <x v="4"/>
    <x v="2"/>
    <x v="1"/>
    <x v="0"/>
  </r>
  <r>
    <x v="640"/>
    <x v="12"/>
    <x v="1"/>
    <x v="10"/>
    <x v="0"/>
    <x v="29"/>
    <x v="0"/>
    <x v="193"/>
    <x v="38"/>
    <x v="16"/>
    <x v="1"/>
    <x v="4"/>
    <x v="0"/>
    <x v="1"/>
    <x v="0"/>
  </r>
  <r>
    <x v="641"/>
    <x v="0"/>
    <x v="0"/>
    <x v="0"/>
    <x v="0"/>
    <x v="83"/>
    <x v="0"/>
    <x v="194"/>
    <x v="63"/>
    <x v="5"/>
    <x v="1"/>
    <x v="5"/>
    <x v="0"/>
    <x v="2"/>
    <x v="0"/>
  </r>
  <r>
    <x v="642"/>
    <x v="2"/>
    <x v="0"/>
    <x v="2"/>
    <x v="1"/>
    <x v="32"/>
    <x v="3"/>
    <x v="194"/>
    <x v="7"/>
    <x v="18"/>
    <x v="1"/>
    <x v="5"/>
    <x v="0"/>
    <x v="2"/>
    <x v="0"/>
  </r>
  <r>
    <x v="643"/>
    <x v="0"/>
    <x v="0"/>
    <x v="0"/>
    <x v="0"/>
    <x v="99"/>
    <x v="3"/>
    <x v="195"/>
    <x v="38"/>
    <x v="7"/>
    <x v="1"/>
    <x v="6"/>
    <x v="0"/>
    <x v="1"/>
    <x v="0"/>
  </r>
  <r>
    <x v="644"/>
    <x v="13"/>
    <x v="0"/>
    <x v="11"/>
    <x v="1"/>
    <x v="67"/>
    <x v="3"/>
    <x v="196"/>
    <x v="49"/>
    <x v="5"/>
    <x v="1"/>
    <x v="1"/>
    <x v="0"/>
    <x v="2"/>
    <x v="0"/>
  </r>
  <r>
    <x v="645"/>
    <x v="8"/>
    <x v="0"/>
    <x v="6"/>
    <x v="2"/>
    <x v="150"/>
    <x v="3"/>
    <x v="196"/>
    <x v="38"/>
    <x v="34"/>
    <x v="1"/>
    <x v="1"/>
    <x v="1"/>
    <x v="1"/>
    <x v="0"/>
  </r>
  <r>
    <x v="646"/>
    <x v="1"/>
    <x v="0"/>
    <x v="1"/>
    <x v="0"/>
    <x v="20"/>
    <x v="4"/>
    <x v="196"/>
    <x v="100"/>
    <x v="14"/>
    <x v="1"/>
    <x v="1"/>
    <x v="2"/>
    <x v="0"/>
    <x v="0"/>
  </r>
  <r>
    <x v="647"/>
    <x v="13"/>
    <x v="0"/>
    <x v="11"/>
    <x v="1"/>
    <x v="147"/>
    <x v="2"/>
    <x v="196"/>
    <x v="19"/>
    <x v="42"/>
    <x v="1"/>
    <x v="1"/>
    <x v="2"/>
    <x v="3"/>
    <x v="0"/>
  </r>
  <r>
    <x v="648"/>
    <x v="14"/>
    <x v="1"/>
    <x v="12"/>
    <x v="2"/>
    <x v="155"/>
    <x v="0"/>
    <x v="196"/>
    <x v="73"/>
    <x v="2"/>
    <x v="1"/>
    <x v="1"/>
    <x v="1"/>
    <x v="0"/>
    <x v="0"/>
  </r>
  <r>
    <x v="649"/>
    <x v="12"/>
    <x v="1"/>
    <x v="10"/>
    <x v="0"/>
    <x v="136"/>
    <x v="1"/>
    <x v="196"/>
    <x v="103"/>
    <x v="5"/>
    <x v="1"/>
    <x v="1"/>
    <x v="1"/>
    <x v="2"/>
    <x v="0"/>
  </r>
  <r>
    <x v="650"/>
    <x v="5"/>
    <x v="1"/>
    <x v="5"/>
    <x v="2"/>
    <x v="51"/>
    <x v="0"/>
    <x v="197"/>
    <x v="16"/>
    <x v="8"/>
    <x v="1"/>
    <x v="3"/>
    <x v="0"/>
    <x v="2"/>
    <x v="0"/>
  </r>
  <r>
    <x v="651"/>
    <x v="13"/>
    <x v="0"/>
    <x v="11"/>
    <x v="1"/>
    <x v="6"/>
    <x v="4"/>
    <x v="198"/>
    <x v="83"/>
    <x v="2"/>
    <x v="1"/>
    <x v="4"/>
    <x v="0"/>
    <x v="0"/>
    <x v="0"/>
  </r>
  <r>
    <x v="652"/>
    <x v="10"/>
    <x v="0"/>
    <x v="8"/>
    <x v="1"/>
    <x v="53"/>
    <x v="1"/>
    <x v="198"/>
    <x v="88"/>
    <x v="12"/>
    <x v="1"/>
    <x v="4"/>
    <x v="0"/>
    <x v="2"/>
    <x v="0"/>
  </r>
  <r>
    <x v="653"/>
    <x v="12"/>
    <x v="1"/>
    <x v="10"/>
    <x v="0"/>
    <x v="75"/>
    <x v="4"/>
    <x v="198"/>
    <x v="51"/>
    <x v="17"/>
    <x v="1"/>
    <x v="4"/>
    <x v="0"/>
    <x v="2"/>
    <x v="0"/>
  </r>
  <r>
    <x v="654"/>
    <x v="6"/>
    <x v="1"/>
    <x v="4"/>
    <x v="2"/>
    <x v="156"/>
    <x v="1"/>
    <x v="199"/>
    <x v="7"/>
    <x v="1"/>
    <x v="1"/>
    <x v="5"/>
    <x v="0"/>
    <x v="1"/>
    <x v="0"/>
  </r>
  <r>
    <x v="655"/>
    <x v="7"/>
    <x v="1"/>
    <x v="2"/>
    <x v="2"/>
    <x v="111"/>
    <x v="3"/>
    <x v="199"/>
    <x v="14"/>
    <x v="7"/>
    <x v="1"/>
    <x v="5"/>
    <x v="1"/>
    <x v="1"/>
    <x v="0"/>
  </r>
  <r>
    <x v="656"/>
    <x v="2"/>
    <x v="0"/>
    <x v="2"/>
    <x v="1"/>
    <x v="108"/>
    <x v="1"/>
    <x v="200"/>
    <x v="106"/>
    <x v="19"/>
    <x v="1"/>
    <x v="6"/>
    <x v="2"/>
    <x v="0"/>
    <x v="0"/>
  </r>
  <r>
    <x v="657"/>
    <x v="7"/>
    <x v="1"/>
    <x v="2"/>
    <x v="2"/>
    <x v="35"/>
    <x v="3"/>
    <x v="201"/>
    <x v="14"/>
    <x v="0"/>
    <x v="1"/>
    <x v="0"/>
    <x v="1"/>
    <x v="0"/>
    <x v="0"/>
  </r>
  <r>
    <x v="658"/>
    <x v="5"/>
    <x v="1"/>
    <x v="5"/>
    <x v="2"/>
    <x v="113"/>
    <x v="2"/>
    <x v="201"/>
    <x v="63"/>
    <x v="6"/>
    <x v="1"/>
    <x v="0"/>
    <x v="0"/>
    <x v="2"/>
    <x v="0"/>
  </r>
  <r>
    <x v="659"/>
    <x v="12"/>
    <x v="1"/>
    <x v="10"/>
    <x v="0"/>
    <x v="157"/>
    <x v="2"/>
    <x v="201"/>
    <x v="3"/>
    <x v="8"/>
    <x v="1"/>
    <x v="0"/>
    <x v="3"/>
    <x v="2"/>
    <x v="0"/>
  </r>
  <r>
    <x v="660"/>
    <x v="4"/>
    <x v="1"/>
    <x v="4"/>
    <x v="0"/>
    <x v="86"/>
    <x v="4"/>
    <x v="202"/>
    <x v="45"/>
    <x v="16"/>
    <x v="1"/>
    <x v="1"/>
    <x v="0"/>
    <x v="1"/>
    <x v="0"/>
  </r>
  <r>
    <x v="661"/>
    <x v="4"/>
    <x v="1"/>
    <x v="4"/>
    <x v="0"/>
    <x v="55"/>
    <x v="1"/>
    <x v="203"/>
    <x v="48"/>
    <x v="11"/>
    <x v="1"/>
    <x v="2"/>
    <x v="1"/>
    <x v="2"/>
    <x v="0"/>
  </r>
  <r>
    <x v="662"/>
    <x v="1"/>
    <x v="0"/>
    <x v="1"/>
    <x v="0"/>
    <x v="49"/>
    <x v="1"/>
    <x v="203"/>
    <x v="5"/>
    <x v="25"/>
    <x v="1"/>
    <x v="2"/>
    <x v="1"/>
    <x v="1"/>
    <x v="0"/>
  </r>
  <r>
    <x v="663"/>
    <x v="11"/>
    <x v="1"/>
    <x v="9"/>
    <x v="2"/>
    <x v="134"/>
    <x v="0"/>
    <x v="204"/>
    <x v="81"/>
    <x v="19"/>
    <x v="1"/>
    <x v="4"/>
    <x v="0"/>
    <x v="0"/>
    <x v="0"/>
  </r>
  <r>
    <x v="664"/>
    <x v="6"/>
    <x v="1"/>
    <x v="4"/>
    <x v="2"/>
    <x v="29"/>
    <x v="4"/>
    <x v="204"/>
    <x v="96"/>
    <x v="2"/>
    <x v="1"/>
    <x v="4"/>
    <x v="0"/>
    <x v="0"/>
    <x v="0"/>
  </r>
  <r>
    <x v="665"/>
    <x v="0"/>
    <x v="0"/>
    <x v="0"/>
    <x v="0"/>
    <x v="47"/>
    <x v="4"/>
    <x v="204"/>
    <x v="79"/>
    <x v="6"/>
    <x v="1"/>
    <x v="4"/>
    <x v="0"/>
    <x v="2"/>
    <x v="0"/>
  </r>
  <r>
    <x v="666"/>
    <x v="7"/>
    <x v="1"/>
    <x v="2"/>
    <x v="2"/>
    <x v="33"/>
    <x v="4"/>
    <x v="205"/>
    <x v="30"/>
    <x v="12"/>
    <x v="1"/>
    <x v="6"/>
    <x v="0"/>
    <x v="2"/>
    <x v="0"/>
  </r>
  <r>
    <x v="667"/>
    <x v="10"/>
    <x v="0"/>
    <x v="8"/>
    <x v="1"/>
    <x v="104"/>
    <x v="3"/>
    <x v="206"/>
    <x v="42"/>
    <x v="2"/>
    <x v="1"/>
    <x v="0"/>
    <x v="1"/>
    <x v="0"/>
    <x v="0"/>
  </r>
  <r>
    <x v="668"/>
    <x v="12"/>
    <x v="1"/>
    <x v="10"/>
    <x v="0"/>
    <x v="6"/>
    <x v="1"/>
    <x v="206"/>
    <x v="70"/>
    <x v="0"/>
    <x v="1"/>
    <x v="0"/>
    <x v="0"/>
    <x v="0"/>
    <x v="0"/>
  </r>
  <r>
    <x v="669"/>
    <x v="12"/>
    <x v="1"/>
    <x v="10"/>
    <x v="0"/>
    <x v="23"/>
    <x v="0"/>
    <x v="207"/>
    <x v="1"/>
    <x v="0"/>
    <x v="1"/>
    <x v="3"/>
    <x v="1"/>
    <x v="0"/>
    <x v="0"/>
  </r>
  <r>
    <x v="670"/>
    <x v="0"/>
    <x v="0"/>
    <x v="0"/>
    <x v="0"/>
    <x v="3"/>
    <x v="1"/>
    <x v="208"/>
    <x v="3"/>
    <x v="29"/>
    <x v="1"/>
    <x v="4"/>
    <x v="1"/>
    <x v="3"/>
    <x v="0"/>
  </r>
  <r>
    <x v="671"/>
    <x v="6"/>
    <x v="1"/>
    <x v="4"/>
    <x v="2"/>
    <x v="34"/>
    <x v="3"/>
    <x v="209"/>
    <x v="84"/>
    <x v="14"/>
    <x v="1"/>
    <x v="5"/>
    <x v="0"/>
    <x v="0"/>
    <x v="0"/>
  </r>
  <r>
    <x v="672"/>
    <x v="4"/>
    <x v="1"/>
    <x v="4"/>
    <x v="0"/>
    <x v="22"/>
    <x v="0"/>
    <x v="209"/>
    <x v="65"/>
    <x v="0"/>
    <x v="1"/>
    <x v="5"/>
    <x v="0"/>
    <x v="0"/>
    <x v="0"/>
  </r>
  <r>
    <x v="673"/>
    <x v="6"/>
    <x v="1"/>
    <x v="4"/>
    <x v="2"/>
    <x v="131"/>
    <x v="3"/>
    <x v="210"/>
    <x v="31"/>
    <x v="14"/>
    <x v="1"/>
    <x v="6"/>
    <x v="0"/>
    <x v="0"/>
    <x v="0"/>
  </r>
  <r>
    <x v="674"/>
    <x v="5"/>
    <x v="1"/>
    <x v="5"/>
    <x v="2"/>
    <x v="84"/>
    <x v="2"/>
    <x v="210"/>
    <x v="76"/>
    <x v="34"/>
    <x v="1"/>
    <x v="6"/>
    <x v="0"/>
    <x v="1"/>
    <x v="0"/>
  </r>
  <r>
    <x v="675"/>
    <x v="4"/>
    <x v="1"/>
    <x v="4"/>
    <x v="0"/>
    <x v="3"/>
    <x v="2"/>
    <x v="210"/>
    <x v="1"/>
    <x v="15"/>
    <x v="1"/>
    <x v="6"/>
    <x v="1"/>
    <x v="3"/>
    <x v="0"/>
  </r>
  <r>
    <x v="676"/>
    <x v="12"/>
    <x v="1"/>
    <x v="10"/>
    <x v="0"/>
    <x v="78"/>
    <x v="0"/>
    <x v="210"/>
    <x v="80"/>
    <x v="18"/>
    <x v="1"/>
    <x v="6"/>
    <x v="3"/>
    <x v="2"/>
    <x v="0"/>
  </r>
  <r>
    <x v="677"/>
    <x v="14"/>
    <x v="1"/>
    <x v="12"/>
    <x v="2"/>
    <x v="47"/>
    <x v="2"/>
    <x v="211"/>
    <x v="87"/>
    <x v="2"/>
    <x v="1"/>
    <x v="0"/>
    <x v="0"/>
    <x v="0"/>
    <x v="0"/>
  </r>
  <r>
    <x v="678"/>
    <x v="8"/>
    <x v="0"/>
    <x v="6"/>
    <x v="2"/>
    <x v="90"/>
    <x v="4"/>
    <x v="211"/>
    <x v="22"/>
    <x v="10"/>
    <x v="1"/>
    <x v="0"/>
    <x v="0"/>
    <x v="2"/>
    <x v="0"/>
  </r>
  <r>
    <x v="679"/>
    <x v="3"/>
    <x v="1"/>
    <x v="3"/>
    <x v="1"/>
    <x v="89"/>
    <x v="1"/>
    <x v="212"/>
    <x v="23"/>
    <x v="17"/>
    <x v="1"/>
    <x v="1"/>
    <x v="1"/>
    <x v="2"/>
    <x v="0"/>
  </r>
  <r>
    <x v="680"/>
    <x v="13"/>
    <x v="0"/>
    <x v="11"/>
    <x v="1"/>
    <x v="0"/>
    <x v="3"/>
    <x v="212"/>
    <x v="85"/>
    <x v="11"/>
    <x v="1"/>
    <x v="1"/>
    <x v="0"/>
    <x v="2"/>
    <x v="0"/>
  </r>
  <r>
    <x v="681"/>
    <x v="3"/>
    <x v="1"/>
    <x v="3"/>
    <x v="1"/>
    <x v="75"/>
    <x v="3"/>
    <x v="213"/>
    <x v="31"/>
    <x v="32"/>
    <x v="1"/>
    <x v="3"/>
    <x v="0"/>
    <x v="3"/>
    <x v="0"/>
  </r>
  <r>
    <x v="682"/>
    <x v="4"/>
    <x v="1"/>
    <x v="4"/>
    <x v="0"/>
    <x v="138"/>
    <x v="3"/>
    <x v="213"/>
    <x v="31"/>
    <x v="17"/>
    <x v="1"/>
    <x v="3"/>
    <x v="3"/>
    <x v="2"/>
    <x v="0"/>
  </r>
  <r>
    <x v="683"/>
    <x v="8"/>
    <x v="0"/>
    <x v="6"/>
    <x v="2"/>
    <x v="157"/>
    <x v="1"/>
    <x v="214"/>
    <x v="45"/>
    <x v="5"/>
    <x v="1"/>
    <x v="4"/>
    <x v="3"/>
    <x v="2"/>
    <x v="0"/>
  </r>
  <r>
    <x v="684"/>
    <x v="5"/>
    <x v="1"/>
    <x v="5"/>
    <x v="2"/>
    <x v="148"/>
    <x v="2"/>
    <x v="214"/>
    <x v="42"/>
    <x v="17"/>
    <x v="1"/>
    <x v="4"/>
    <x v="1"/>
    <x v="2"/>
    <x v="0"/>
  </r>
  <r>
    <x v="685"/>
    <x v="12"/>
    <x v="1"/>
    <x v="10"/>
    <x v="0"/>
    <x v="21"/>
    <x v="3"/>
    <x v="215"/>
    <x v="85"/>
    <x v="11"/>
    <x v="1"/>
    <x v="5"/>
    <x v="0"/>
    <x v="2"/>
    <x v="0"/>
  </r>
  <r>
    <x v="686"/>
    <x v="3"/>
    <x v="1"/>
    <x v="3"/>
    <x v="1"/>
    <x v="130"/>
    <x v="1"/>
    <x v="215"/>
    <x v="24"/>
    <x v="12"/>
    <x v="1"/>
    <x v="5"/>
    <x v="0"/>
    <x v="2"/>
    <x v="0"/>
  </r>
  <r>
    <x v="687"/>
    <x v="10"/>
    <x v="0"/>
    <x v="8"/>
    <x v="1"/>
    <x v="143"/>
    <x v="1"/>
    <x v="216"/>
    <x v="2"/>
    <x v="14"/>
    <x v="1"/>
    <x v="6"/>
    <x v="2"/>
    <x v="0"/>
    <x v="0"/>
  </r>
  <r>
    <x v="688"/>
    <x v="13"/>
    <x v="0"/>
    <x v="11"/>
    <x v="1"/>
    <x v="133"/>
    <x v="4"/>
    <x v="216"/>
    <x v="95"/>
    <x v="7"/>
    <x v="1"/>
    <x v="6"/>
    <x v="1"/>
    <x v="1"/>
    <x v="0"/>
  </r>
  <r>
    <x v="689"/>
    <x v="5"/>
    <x v="1"/>
    <x v="5"/>
    <x v="2"/>
    <x v="38"/>
    <x v="3"/>
    <x v="216"/>
    <x v="2"/>
    <x v="4"/>
    <x v="1"/>
    <x v="6"/>
    <x v="0"/>
    <x v="0"/>
    <x v="0"/>
  </r>
  <r>
    <x v="690"/>
    <x v="12"/>
    <x v="1"/>
    <x v="10"/>
    <x v="0"/>
    <x v="37"/>
    <x v="2"/>
    <x v="216"/>
    <x v="19"/>
    <x v="0"/>
    <x v="1"/>
    <x v="6"/>
    <x v="1"/>
    <x v="0"/>
    <x v="0"/>
  </r>
  <r>
    <x v="691"/>
    <x v="11"/>
    <x v="1"/>
    <x v="9"/>
    <x v="2"/>
    <x v="24"/>
    <x v="4"/>
    <x v="217"/>
    <x v="72"/>
    <x v="2"/>
    <x v="1"/>
    <x v="0"/>
    <x v="0"/>
    <x v="0"/>
    <x v="0"/>
  </r>
  <r>
    <x v="692"/>
    <x v="4"/>
    <x v="1"/>
    <x v="4"/>
    <x v="0"/>
    <x v="4"/>
    <x v="3"/>
    <x v="217"/>
    <x v="7"/>
    <x v="16"/>
    <x v="1"/>
    <x v="0"/>
    <x v="2"/>
    <x v="1"/>
    <x v="0"/>
  </r>
  <r>
    <x v="693"/>
    <x v="13"/>
    <x v="0"/>
    <x v="11"/>
    <x v="1"/>
    <x v="21"/>
    <x v="3"/>
    <x v="217"/>
    <x v="62"/>
    <x v="3"/>
    <x v="1"/>
    <x v="0"/>
    <x v="0"/>
    <x v="1"/>
    <x v="0"/>
  </r>
  <r>
    <x v="694"/>
    <x v="5"/>
    <x v="1"/>
    <x v="5"/>
    <x v="2"/>
    <x v="146"/>
    <x v="4"/>
    <x v="217"/>
    <x v="44"/>
    <x v="17"/>
    <x v="1"/>
    <x v="0"/>
    <x v="0"/>
    <x v="2"/>
    <x v="0"/>
  </r>
  <r>
    <x v="695"/>
    <x v="2"/>
    <x v="0"/>
    <x v="2"/>
    <x v="1"/>
    <x v="18"/>
    <x v="0"/>
    <x v="217"/>
    <x v="27"/>
    <x v="8"/>
    <x v="1"/>
    <x v="0"/>
    <x v="2"/>
    <x v="2"/>
    <x v="0"/>
  </r>
  <r>
    <x v="696"/>
    <x v="10"/>
    <x v="0"/>
    <x v="8"/>
    <x v="1"/>
    <x v="66"/>
    <x v="4"/>
    <x v="218"/>
    <x v="12"/>
    <x v="24"/>
    <x v="1"/>
    <x v="2"/>
    <x v="0"/>
    <x v="3"/>
    <x v="0"/>
  </r>
  <r>
    <x v="697"/>
    <x v="4"/>
    <x v="1"/>
    <x v="4"/>
    <x v="0"/>
    <x v="95"/>
    <x v="1"/>
    <x v="219"/>
    <x v="80"/>
    <x v="17"/>
    <x v="1"/>
    <x v="3"/>
    <x v="0"/>
    <x v="2"/>
    <x v="0"/>
  </r>
  <r>
    <x v="698"/>
    <x v="1"/>
    <x v="0"/>
    <x v="1"/>
    <x v="0"/>
    <x v="145"/>
    <x v="0"/>
    <x v="219"/>
    <x v="22"/>
    <x v="12"/>
    <x v="1"/>
    <x v="3"/>
    <x v="2"/>
    <x v="2"/>
    <x v="0"/>
  </r>
  <r>
    <x v="699"/>
    <x v="1"/>
    <x v="0"/>
    <x v="1"/>
    <x v="0"/>
    <x v="41"/>
    <x v="1"/>
    <x v="220"/>
    <x v="82"/>
    <x v="0"/>
    <x v="1"/>
    <x v="4"/>
    <x v="0"/>
    <x v="0"/>
    <x v="0"/>
  </r>
  <r>
    <x v="700"/>
    <x v="7"/>
    <x v="1"/>
    <x v="2"/>
    <x v="2"/>
    <x v="55"/>
    <x v="0"/>
    <x v="221"/>
    <x v="32"/>
    <x v="9"/>
    <x v="1"/>
    <x v="5"/>
    <x v="1"/>
    <x v="2"/>
    <x v="0"/>
  </r>
  <r>
    <x v="701"/>
    <x v="0"/>
    <x v="0"/>
    <x v="0"/>
    <x v="0"/>
    <x v="70"/>
    <x v="4"/>
    <x v="221"/>
    <x v="88"/>
    <x v="2"/>
    <x v="1"/>
    <x v="5"/>
    <x v="1"/>
    <x v="0"/>
    <x v="0"/>
  </r>
  <r>
    <x v="702"/>
    <x v="6"/>
    <x v="1"/>
    <x v="4"/>
    <x v="2"/>
    <x v="74"/>
    <x v="3"/>
    <x v="221"/>
    <x v="73"/>
    <x v="7"/>
    <x v="1"/>
    <x v="5"/>
    <x v="0"/>
    <x v="1"/>
    <x v="0"/>
  </r>
  <r>
    <x v="703"/>
    <x v="13"/>
    <x v="0"/>
    <x v="11"/>
    <x v="1"/>
    <x v="5"/>
    <x v="1"/>
    <x v="222"/>
    <x v="18"/>
    <x v="9"/>
    <x v="1"/>
    <x v="0"/>
    <x v="0"/>
    <x v="2"/>
    <x v="0"/>
  </r>
  <r>
    <x v="704"/>
    <x v="9"/>
    <x v="1"/>
    <x v="7"/>
    <x v="1"/>
    <x v="75"/>
    <x v="1"/>
    <x v="222"/>
    <x v="23"/>
    <x v="14"/>
    <x v="1"/>
    <x v="0"/>
    <x v="0"/>
    <x v="0"/>
    <x v="0"/>
  </r>
  <r>
    <x v="705"/>
    <x v="9"/>
    <x v="1"/>
    <x v="7"/>
    <x v="1"/>
    <x v="6"/>
    <x v="0"/>
    <x v="223"/>
    <x v="85"/>
    <x v="14"/>
    <x v="1"/>
    <x v="1"/>
    <x v="0"/>
    <x v="0"/>
    <x v="0"/>
  </r>
  <r>
    <x v="706"/>
    <x v="0"/>
    <x v="0"/>
    <x v="0"/>
    <x v="0"/>
    <x v="84"/>
    <x v="2"/>
    <x v="223"/>
    <x v="32"/>
    <x v="0"/>
    <x v="1"/>
    <x v="1"/>
    <x v="0"/>
    <x v="0"/>
    <x v="0"/>
  </r>
  <r>
    <x v="707"/>
    <x v="12"/>
    <x v="1"/>
    <x v="10"/>
    <x v="0"/>
    <x v="97"/>
    <x v="3"/>
    <x v="223"/>
    <x v="9"/>
    <x v="5"/>
    <x v="1"/>
    <x v="1"/>
    <x v="0"/>
    <x v="2"/>
    <x v="0"/>
  </r>
  <r>
    <x v="708"/>
    <x v="12"/>
    <x v="1"/>
    <x v="10"/>
    <x v="0"/>
    <x v="74"/>
    <x v="3"/>
    <x v="223"/>
    <x v="11"/>
    <x v="1"/>
    <x v="1"/>
    <x v="1"/>
    <x v="0"/>
    <x v="1"/>
    <x v="0"/>
  </r>
  <r>
    <x v="709"/>
    <x v="8"/>
    <x v="0"/>
    <x v="6"/>
    <x v="2"/>
    <x v="37"/>
    <x v="0"/>
    <x v="224"/>
    <x v="75"/>
    <x v="5"/>
    <x v="1"/>
    <x v="2"/>
    <x v="1"/>
    <x v="2"/>
    <x v="0"/>
  </r>
  <r>
    <x v="710"/>
    <x v="5"/>
    <x v="1"/>
    <x v="5"/>
    <x v="2"/>
    <x v="143"/>
    <x v="3"/>
    <x v="225"/>
    <x v="66"/>
    <x v="12"/>
    <x v="1"/>
    <x v="3"/>
    <x v="2"/>
    <x v="2"/>
    <x v="0"/>
  </r>
  <r>
    <x v="711"/>
    <x v="1"/>
    <x v="0"/>
    <x v="1"/>
    <x v="0"/>
    <x v="41"/>
    <x v="0"/>
    <x v="225"/>
    <x v="13"/>
    <x v="2"/>
    <x v="1"/>
    <x v="3"/>
    <x v="0"/>
    <x v="0"/>
    <x v="0"/>
  </r>
  <r>
    <x v="712"/>
    <x v="3"/>
    <x v="1"/>
    <x v="3"/>
    <x v="1"/>
    <x v="20"/>
    <x v="4"/>
    <x v="225"/>
    <x v="11"/>
    <x v="23"/>
    <x v="1"/>
    <x v="3"/>
    <x v="2"/>
    <x v="1"/>
    <x v="0"/>
  </r>
  <r>
    <x v="713"/>
    <x v="4"/>
    <x v="1"/>
    <x v="4"/>
    <x v="0"/>
    <x v="111"/>
    <x v="4"/>
    <x v="226"/>
    <x v="55"/>
    <x v="24"/>
    <x v="1"/>
    <x v="4"/>
    <x v="1"/>
    <x v="3"/>
    <x v="0"/>
  </r>
  <r>
    <x v="714"/>
    <x v="3"/>
    <x v="1"/>
    <x v="3"/>
    <x v="1"/>
    <x v="93"/>
    <x v="2"/>
    <x v="227"/>
    <x v="58"/>
    <x v="6"/>
    <x v="1"/>
    <x v="5"/>
    <x v="2"/>
    <x v="2"/>
    <x v="0"/>
  </r>
  <r>
    <x v="715"/>
    <x v="12"/>
    <x v="1"/>
    <x v="10"/>
    <x v="0"/>
    <x v="156"/>
    <x v="1"/>
    <x v="227"/>
    <x v="82"/>
    <x v="19"/>
    <x v="1"/>
    <x v="5"/>
    <x v="0"/>
    <x v="0"/>
    <x v="0"/>
  </r>
  <r>
    <x v="716"/>
    <x v="2"/>
    <x v="0"/>
    <x v="2"/>
    <x v="1"/>
    <x v="90"/>
    <x v="4"/>
    <x v="227"/>
    <x v="2"/>
    <x v="9"/>
    <x v="1"/>
    <x v="5"/>
    <x v="0"/>
    <x v="2"/>
    <x v="0"/>
  </r>
  <r>
    <x v="717"/>
    <x v="0"/>
    <x v="0"/>
    <x v="0"/>
    <x v="0"/>
    <x v="32"/>
    <x v="0"/>
    <x v="227"/>
    <x v="81"/>
    <x v="2"/>
    <x v="1"/>
    <x v="5"/>
    <x v="0"/>
    <x v="0"/>
    <x v="0"/>
  </r>
  <r>
    <x v="718"/>
    <x v="13"/>
    <x v="0"/>
    <x v="11"/>
    <x v="1"/>
    <x v="125"/>
    <x v="4"/>
    <x v="228"/>
    <x v="106"/>
    <x v="12"/>
    <x v="1"/>
    <x v="6"/>
    <x v="2"/>
    <x v="2"/>
    <x v="0"/>
  </r>
  <r>
    <x v="719"/>
    <x v="4"/>
    <x v="1"/>
    <x v="4"/>
    <x v="0"/>
    <x v="33"/>
    <x v="3"/>
    <x v="228"/>
    <x v="75"/>
    <x v="3"/>
    <x v="1"/>
    <x v="6"/>
    <x v="0"/>
    <x v="1"/>
    <x v="0"/>
  </r>
  <r>
    <x v="720"/>
    <x v="10"/>
    <x v="0"/>
    <x v="8"/>
    <x v="1"/>
    <x v="70"/>
    <x v="1"/>
    <x v="228"/>
    <x v="38"/>
    <x v="9"/>
    <x v="1"/>
    <x v="6"/>
    <x v="1"/>
    <x v="2"/>
    <x v="0"/>
  </r>
  <r>
    <x v="721"/>
    <x v="0"/>
    <x v="0"/>
    <x v="0"/>
    <x v="0"/>
    <x v="30"/>
    <x v="2"/>
    <x v="228"/>
    <x v="8"/>
    <x v="10"/>
    <x v="1"/>
    <x v="6"/>
    <x v="0"/>
    <x v="2"/>
    <x v="0"/>
  </r>
  <r>
    <x v="722"/>
    <x v="11"/>
    <x v="1"/>
    <x v="9"/>
    <x v="2"/>
    <x v="55"/>
    <x v="0"/>
    <x v="229"/>
    <x v="9"/>
    <x v="22"/>
    <x v="1"/>
    <x v="0"/>
    <x v="1"/>
    <x v="1"/>
    <x v="0"/>
  </r>
  <r>
    <x v="723"/>
    <x v="13"/>
    <x v="0"/>
    <x v="11"/>
    <x v="1"/>
    <x v="139"/>
    <x v="4"/>
    <x v="229"/>
    <x v="39"/>
    <x v="34"/>
    <x v="1"/>
    <x v="0"/>
    <x v="1"/>
    <x v="1"/>
    <x v="0"/>
  </r>
  <r>
    <x v="724"/>
    <x v="6"/>
    <x v="1"/>
    <x v="4"/>
    <x v="2"/>
    <x v="99"/>
    <x v="1"/>
    <x v="229"/>
    <x v="100"/>
    <x v="2"/>
    <x v="1"/>
    <x v="0"/>
    <x v="0"/>
    <x v="0"/>
    <x v="0"/>
  </r>
  <r>
    <x v="725"/>
    <x v="0"/>
    <x v="0"/>
    <x v="0"/>
    <x v="0"/>
    <x v="20"/>
    <x v="1"/>
    <x v="230"/>
    <x v="44"/>
    <x v="12"/>
    <x v="1"/>
    <x v="2"/>
    <x v="2"/>
    <x v="2"/>
    <x v="0"/>
  </r>
  <r>
    <x v="726"/>
    <x v="7"/>
    <x v="1"/>
    <x v="2"/>
    <x v="2"/>
    <x v="131"/>
    <x v="1"/>
    <x v="230"/>
    <x v="37"/>
    <x v="11"/>
    <x v="1"/>
    <x v="2"/>
    <x v="0"/>
    <x v="2"/>
    <x v="0"/>
  </r>
  <r>
    <x v="727"/>
    <x v="8"/>
    <x v="0"/>
    <x v="6"/>
    <x v="2"/>
    <x v="29"/>
    <x v="4"/>
    <x v="230"/>
    <x v="31"/>
    <x v="5"/>
    <x v="1"/>
    <x v="2"/>
    <x v="0"/>
    <x v="2"/>
    <x v="0"/>
  </r>
  <r>
    <x v="728"/>
    <x v="6"/>
    <x v="1"/>
    <x v="4"/>
    <x v="2"/>
    <x v="126"/>
    <x v="1"/>
    <x v="230"/>
    <x v="4"/>
    <x v="10"/>
    <x v="1"/>
    <x v="2"/>
    <x v="4"/>
    <x v="2"/>
    <x v="0"/>
  </r>
  <r>
    <x v="729"/>
    <x v="2"/>
    <x v="0"/>
    <x v="2"/>
    <x v="1"/>
    <x v="77"/>
    <x v="4"/>
    <x v="231"/>
    <x v="10"/>
    <x v="0"/>
    <x v="1"/>
    <x v="3"/>
    <x v="0"/>
    <x v="0"/>
    <x v="0"/>
  </r>
  <r>
    <x v="730"/>
    <x v="0"/>
    <x v="0"/>
    <x v="0"/>
    <x v="0"/>
    <x v="50"/>
    <x v="4"/>
    <x v="231"/>
    <x v="67"/>
    <x v="18"/>
    <x v="1"/>
    <x v="3"/>
    <x v="0"/>
    <x v="2"/>
    <x v="0"/>
  </r>
  <r>
    <x v="731"/>
    <x v="7"/>
    <x v="1"/>
    <x v="2"/>
    <x v="2"/>
    <x v="54"/>
    <x v="2"/>
    <x v="232"/>
    <x v="55"/>
    <x v="9"/>
    <x v="1"/>
    <x v="4"/>
    <x v="2"/>
    <x v="2"/>
    <x v="0"/>
  </r>
  <r>
    <x v="732"/>
    <x v="5"/>
    <x v="1"/>
    <x v="5"/>
    <x v="2"/>
    <x v="67"/>
    <x v="2"/>
    <x v="232"/>
    <x v="50"/>
    <x v="18"/>
    <x v="1"/>
    <x v="4"/>
    <x v="0"/>
    <x v="2"/>
    <x v="0"/>
  </r>
  <r>
    <x v="733"/>
    <x v="12"/>
    <x v="1"/>
    <x v="10"/>
    <x v="0"/>
    <x v="44"/>
    <x v="0"/>
    <x v="233"/>
    <x v="13"/>
    <x v="4"/>
    <x v="1"/>
    <x v="5"/>
    <x v="2"/>
    <x v="0"/>
    <x v="0"/>
  </r>
  <r>
    <x v="734"/>
    <x v="5"/>
    <x v="1"/>
    <x v="5"/>
    <x v="2"/>
    <x v="116"/>
    <x v="1"/>
    <x v="234"/>
    <x v="68"/>
    <x v="31"/>
    <x v="1"/>
    <x v="6"/>
    <x v="1"/>
    <x v="5"/>
    <x v="0"/>
  </r>
  <r>
    <x v="735"/>
    <x v="2"/>
    <x v="0"/>
    <x v="2"/>
    <x v="1"/>
    <x v="62"/>
    <x v="0"/>
    <x v="235"/>
    <x v="35"/>
    <x v="9"/>
    <x v="1"/>
    <x v="0"/>
    <x v="2"/>
    <x v="2"/>
    <x v="0"/>
  </r>
  <r>
    <x v="736"/>
    <x v="13"/>
    <x v="0"/>
    <x v="11"/>
    <x v="1"/>
    <x v="42"/>
    <x v="4"/>
    <x v="236"/>
    <x v="29"/>
    <x v="4"/>
    <x v="1"/>
    <x v="2"/>
    <x v="0"/>
    <x v="0"/>
    <x v="0"/>
  </r>
  <r>
    <x v="737"/>
    <x v="0"/>
    <x v="0"/>
    <x v="0"/>
    <x v="0"/>
    <x v="51"/>
    <x v="0"/>
    <x v="237"/>
    <x v="25"/>
    <x v="18"/>
    <x v="1"/>
    <x v="3"/>
    <x v="0"/>
    <x v="2"/>
    <x v="0"/>
  </r>
  <r>
    <x v="738"/>
    <x v="9"/>
    <x v="1"/>
    <x v="7"/>
    <x v="1"/>
    <x v="30"/>
    <x v="1"/>
    <x v="238"/>
    <x v="96"/>
    <x v="19"/>
    <x v="1"/>
    <x v="4"/>
    <x v="0"/>
    <x v="0"/>
    <x v="0"/>
  </r>
  <r>
    <x v="739"/>
    <x v="6"/>
    <x v="1"/>
    <x v="4"/>
    <x v="2"/>
    <x v="130"/>
    <x v="0"/>
    <x v="238"/>
    <x v="67"/>
    <x v="9"/>
    <x v="1"/>
    <x v="4"/>
    <x v="0"/>
    <x v="2"/>
    <x v="0"/>
  </r>
  <r>
    <x v="740"/>
    <x v="2"/>
    <x v="0"/>
    <x v="2"/>
    <x v="1"/>
    <x v="77"/>
    <x v="1"/>
    <x v="238"/>
    <x v="27"/>
    <x v="10"/>
    <x v="1"/>
    <x v="4"/>
    <x v="0"/>
    <x v="2"/>
    <x v="0"/>
  </r>
  <r>
    <x v="741"/>
    <x v="12"/>
    <x v="1"/>
    <x v="10"/>
    <x v="0"/>
    <x v="151"/>
    <x v="0"/>
    <x v="238"/>
    <x v="73"/>
    <x v="3"/>
    <x v="1"/>
    <x v="4"/>
    <x v="1"/>
    <x v="1"/>
    <x v="0"/>
  </r>
  <r>
    <x v="742"/>
    <x v="1"/>
    <x v="0"/>
    <x v="1"/>
    <x v="0"/>
    <x v="92"/>
    <x v="2"/>
    <x v="239"/>
    <x v="76"/>
    <x v="2"/>
    <x v="1"/>
    <x v="5"/>
    <x v="1"/>
    <x v="0"/>
    <x v="0"/>
  </r>
  <r>
    <x v="743"/>
    <x v="6"/>
    <x v="1"/>
    <x v="4"/>
    <x v="2"/>
    <x v="134"/>
    <x v="0"/>
    <x v="239"/>
    <x v="100"/>
    <x v="18"/>
    <x v="1"/>
    <x v="5"/>
    <x v="0"/>
    <x v="2"/>
    <x v="0"/>
  </r>
  <r>
    <x v="744"/>
    <x v="2"/>
    <x v="0"/>
    <x v="2"/>
    <x v="1"/>
    <x v="130"/>
    <x v="2"/>
    <x v="240"/>
    <x v="2"/>
    <x v="10"/>
    <x v="1"/>
    <x v="6"/>
    <x v="0"/>
    <x v="2"/>
    <x v="0"/>
  </r>
  <r>
    <x v="745"/>
    <x v="5"/>
    <x v="1"/>
    <x v="5"/>
    <x v="2"/>
    <x v="42"/>
    <x v="0"/>
    <x v="240"/>
    <x v="46"/>
    <x v="19"/>
    <x v="1"/>
    <x v="6"/>
    <x v="0"/>
    <x v="0"/>
    <x v="0"/>
  </r>
  <r>
    <x v="746"/>
    <x v="5"/>
    <x v="1"/>
    <x v="5"/>
    <x v="2"/>
    <x v="64"/>
    <x v="2"/>
    <x v="240"/>
    <x v="19"/>
    <x v="12"/>
    <x v="1"/>
    <x v="6"/>
    <x v="2"/>
    <x v="2"/>
    <x v="0"/>
  </r>
  <r>
    <x v="747"/>
    <x v="4"/>
    <x v="1"/>
    <x v="4"/>
    <x v="0"/>
    <x v="74"/>
    <x v="0"/>
    <x v="240"/>
    <x v="24"/>
    <x v="6"/>
    <x v="1"/>
    <x v="6"/>
    <x v="0"/>
    <x v="2"/>
    <x v="0"/>
  </r>
  <r>
    <x v="748"/>
    <x v="4"/>
    <x v="1"/>
    <x v="4"/>
    <x v="0"/>
    <x v="22"/>
    <x v="0"/>
    <x v="241"/>
    <x v="26"/>
    <x v="0"/>
    <x v="1"/>
    <x v="0"/>
    <x v="0"/>
    <x v="0"/>
    <x v="0"/>
  </r>
  <r>
    <x v="749"/>
    <x v="12"/>
    <x v="1"/>
    <x v="10"/>
    <x v="0"/>
    <x v="48"/>
    <x v="3"/>
    <x v="241"/>
    <x v="50"/>
    <x v="21"/>
    <x v="1"/>
    <x v="0"/>
    <x v="0"/>
    <x v="3"/>
    <x v="0"/>
  </r>
  <r>
    <x v="750"/>
    <x v="11"/>
    <x v="1"/>
    <x v="9"/>
    <x v="2"/>
    <x v="127"/>
    <x v="1"/>
    <x v="241"/>
    <x v="23"/>
    <x v="18"/>
    <x v="1"/>
    <x v="0"/>
    <x v="1"/>
    <x v="2"/>
    <x v="0"/>
  </r>
  <r>
    <x v="751"/>
    <x v="14"/>
    <x v="1"/>
    <x v="12"/>
    <x v="2"/>
    <x v="66"/>
    <x v="4"/>
    <x v="241"/>
    <x v="68"/>
    <x v="10"/>
    <x v="1"/>
    <x v="0"/>
    <x v="0"/>
    <x v="2"/>
    <x v="0"/>
  </r>
  <r>
    <x v="752"/>
    <x v="5"/>
    <x v="1"/>
    <x v="5"/>
    <x v="2"/>
    <x v="99"/>
    <x v="4"/>
    <x v="241"/>
    <x v="5"/>
    <x v="18"/>
    <x v="1"/>
    <x v="0"/>
    <x v="0"/>
    <x v="2"/>
    <x v="0"/>
  </r>
  <r>
    <x v="753"/>
    <x v="4"/>
    <x v="1"/>
    <x v="4"/>
    <x v="0"/>
    <x v="19"/>
    <x v="2"/>
    <x v="242"/>
    <x v="90"/>
    <x v="10"/>
    <x v="1"/>
    <x v="1"/>
    <x v="0"/>
    <x v="2"/>
    <x v="0"/>
  </r>
  <r>
    <x v="754"/>
    <x v="8"/>
    <x v="0"/>
    <x v="6"/>
    <x v="2"/>
    <x v="74"/>
    <x v="0"/>
    <x v="243"/>
    <x v="28"/>
    <x v="14"/>
    <x v="1"/>
    <x v="2"/>
    <x v="0"/>
    <x v="0"/>
    <x v="0"/>
  </r>
  <r>
    <x v="755"/>
    <x v="10"/>
    <x v="0"/>
    <x v="8"/>
    <x v="1"/>
    <x v="112"/>
    <x v="1"/>
    <x v="244"/>
    <x v="64"/>
    <x v="11"/>
    <x v="1"/>
    <x v="3"/>
    <x v="1"/>
    <x v="2"/>
    <x v="0"/>
  </r>
  <r>
    <x v="756"/>
    <x v="10"/>
    <x v="0"/>
    <x v="8"/>
    <x v="1"/>
    <x v="51"/>
    <x v="3"/>
    <x v="244"/>
    <x v="1"/>
    <x v="10"/>
    <x v="1"/>
    <x v="3"/>
    <x v="0"/>
    <x v="2"/>
    <x v="0"/>
  </r>
  <r>
    <x v="757"/>
    <x v="8"/>
    <x v="0"/>
    <x v="6"/>
    <x v="2"/>
    <x v="72"/>
    <x v="3"/>
    <x v="244"/>
    <x v="66"/>
    <x v="2"/>
    <x v="1"/>
    <x v="3"/>
    <x v="1"/>
    <x v="0"/>
    <x v="0"/>
  </r>
  <r>
    <x v="758"/>
    <x v="13"/>
    <x v="0"/>
    <x v="11"/>
    <x v="1"/>
    <x v="130"/>
    <x v="1"/>
    <x v="244"/>
    <x v="104"/>
    <x v="23"/>
    <x v="1"/>
    <x v="3"/>
    <x v="0"/>
    <x v="1"/>
    <x v="0"/>
  </r>
  <r>
    <x v="759"/>
    <x v="13"/>
    <x v="0"/>
    <x v="11"/>
    <x v="1"/>
    <x v="139"/>
    <x v="3"/>
    <x v="244"/>
    <x v="91"/>
    <x v="13"/>
    <x v="1"/>
    <x v="3"/>
    <x v="1"/>
    <x v="0"/>
    <x v="0"/>
  </r>
  <r>
    <x v="760"/>
    <x v="10"/>
    <x v="0"/>
    <x v="8"/>
    <x v="1"/>
    <x v="116"/>
    <x v="1"/>
    <x v="244"/>
    <x v="85"/>
    <x v="20"/>
    <x v="1"/>
    <x v="3"/>
    <x v="1"/>
    <x v="2"/>
    <x v="0"/>
  </r>
  <r>
    <x v="761"/>
    <x v="2"/>
    <x v="0"/>
    <x v="2"/>
    <x v="1"/>
    <x v="10"/>
    <x v="3"/>
    <x v="245"/>
    <x v="19"/>
    <x v="10"/>
    <x v="1"/>
    <x v="4"/>
    <x v="1"/>
    <x v="2"/>
    <x v="0"/>
  </r>
  <r>
    <x v="762"/>
    <x v="10"/>
    <x v="0"/>
    <x v="8"/>
    <x v="1"/>
    <x v="50"/>
    <x v="0"/>
    <x v="246"/>
    <x v="44"/>
    <x v="22"/>
    <x v="1"/>
    <x v="5"/>
    <x v="0"/>
    <x v="1"/>
    <x v="0"/>
  </r>
  <r>
    <x v="763"/>
    <x v="11"/>
    <x v="1"/>
    <x v="9"/>
    <x v="2"/>
    <x v="90"/>
    <x v="3"/>
    <x v="246"/>
    <x v="54"/>
    <x v="26"/>
    <x v="1"/>
    <x v="5"/>
    <x v="0"/>
    <x v="3"/>
    <x v="0"/>
  </r>
  <r>
    <x v="764"/>
    <x v="9"/>
    <x v="1"/>
    <x v="7"/>
    <x v="1"/>
    <x v="76"/>
    <x v="1"/>
    <x v="246"/>
    <x v="54"/>
    <x v="19"/>
    <x v="1"/>
    <x v="5"/>
    <x v="1"/>
    <x v="0"/>
    <x v="0"/>
  </r>
  <r>
    <x v="765"/>
    <x v="14"/>
    <x v="1"/>
    <x v="12"/>
    <x v="2"/>
    <x v="55"/>
    <x v="2"/>
    <x v="246"/>
    <x v="43"/>
    <x v="20"/>
    <x v="1"/>
    <x v="5"/>
    <x v="1"/>
    <x v="2"/>
    <x v="0"/>
  </r>
  <r>
    <x v="766"/>
    <x v="11"/>
    <x v="1"/>
    <x v="9"/>
    <x v="2"/>
    <x v="118"/>
    <x v="1"/>
    <x v="246"/>
    <x v="93"/>
    <x v="5"/>
    <x v="1"/>
    <x v="5"/>
    <x v="1"/>
    <x v="2"/>
    <x v="0"/>
  </r>
  <r>
    <x v="767"/>
    <x v="1"/>
    <x v="0"/>
    <x v="1"/>
    <x v="0"/>
    <x v="95"/>
    <x v="1"/>
    <x v="246"/>
    <x v="87"/>
    <x v="15"/>
    <x v="1"/>
    <x v="5"/>
    <x v="0"/>
    <x v="3"/>
    <x v="0"/>
  </r>
  <r>
    <x v="768"/>
    <x v="9"/>
    <x v="1"/>
    <x v="7"/>
    <x v="1"/>
    <x v="107"/>
    <x v="3"/>
    <x v="247"/>
    <x v="16"/>
    <x v="30"/>
    <x v="1"/>
    <x v="6"/>
    <x v="0"/>
    <x v="3"/>
    <x v="0"/>
  </r>
  <r>
    <x v="769"/>
    <x v="1"/>
    <x v="0"/>
    <x v="1"/>
    <x v="0"/>
    <x v="134"/>
    <x v="4"/>
    <x v="247"/>
    <x v="12"/>
    <x v="7"/>
    <x v="1"/>
    <x v="6"/>
    <x v="0"/>
    <x v="1"/>
    <x v="0"/>
  </r>
  <r>
    <x v="770"/>
    <x v="4"/>
    <x v="1"/>
    <x v="4"/>
    <x v="0"/>
    <x v="74"/>
    <x v="0"/>
    <x v="247"/>
    <x v="14"/>
    <x v="34"/>
    <x v="1"/>
    <x v="6"/>
    <x v="0"/>
    <x v="1"/>
    <x v="0"/>
  </r>
  <r>
    <x v="771"/>
    <x v="3"/>
    <x v="1"/>
    <x v="3"/>
    <x v="1"/>
    <x v="19"/>
    <x v="0"/>
    <x v="247"/>
    <x v="11"/>
    <x v="20"/>
    <x v="1"/>
    <x v="6"/>
    <x v="0"/>
    <x v="2"/>
    <x v="0"/>
  </r>
  <r>
    <x v="772"/>
    <x v="11"/>
    <x v="1"/>
    <x v="9"/>
    <x v="2"/>
    <x v="1"/>
    <x v="0"/>
    <x v="247"/>
    <x v="11"/>
    <x v="22"/>
    <x v="1"/>
    <x v="6"/>
    <x v="0"/>
    <x v="1"/>
    <x v="0"/>
  </r>
  <r>
    <x v="773"/>
    <x v="14"/>
    <x v="1"/>
    <x v="12"/>
    <x v="2"/>
    <x v="84"/>
    <x v="2"/>
    <x v="247"/>
    <x v="83"/>
    <x v="17"/>
    <x v="1"/>
    <x v="6"/>
    <x v="0"/>
    <x v="2"/>
    <x v="0"/>
  </r>
  <r>
    <x v="774"/>
    <x v="4"/>
    <x v="1"/>
    <x v="4"/>
    <x v="0"/>
    <x v="26"/>
    <x v="3"/>
    <x v="247"/>
    <x v="24"/>
    <x v="4"/>
    <x v="1"/>
    <x v="6"/>
    <x v="3"/>
    <x v="0"/>
    <x v="0"/>
  </r>
  <r>
    <x v="775"/>
    <x v="8"/>
    <x v="0"/>
    <x v="6"/>
    <x v="2"/>
    <x v="104"/>
    <x v="4"/>
    <x v="247"/>
    <x v="83"/>
    <x v="9"/>
    <x v="1"/>
    <x v="6"/>
    <x v="1"/>
    <x v="2"/>
    <x v="0"/>
  </r>
  <r>
    <x v="776"/>
    <x v="10"/>
    <x v="0"/>
    <x v="8"/>
    <x v="1"/>
    <x v="97"/>
    <x v="0"/>
    <x v="248"/>
    <x v="45"/>
    <x v="35"/>
    <x v="1"/>
    <x v="0"/>
    <x v="0"/>
    <x v="1"/>
    <x v="0"/>
  </r>
  <r>
    <x v="777"/>
    <x v="13"/>
    <x v="0"/>
    <x v="11"/>
    <x v="1"/>
    <x v="158"/>
    <x v="4"/>
    <x v="248"/>
    <x v="83"/>
    <x v="4"/>
    <x v="1"/>
    <x v="0"/>
    <x v="3"/>
    <x v="0"/>
    <x v="0"/>
  </r>
  <r>
    <x v="778"/>
    <x v="7"/>
    <x v="1"/>
    <x v="2"/>
    <x v="2"/>
    <x v="67"/>
    <x v="3"/>
    <x v="248"/>
    <x v="1"/>
    <x v="17"/>
    <x v="1"/>
    <x v="0"/>
    <x v="0"/>
    <x v="2"/>
    <x v="0"/>
  </r>
  <r>
    <x v="779"/>
    <x v="11"/>
    <x v="1"/>
    <x v="9"/>
    <x v="2"/>
    <x v="25"/>
    <x v="1"/>
    <x v="248"/>
    <x v="51"/>
    <x v="18"/>
    <x v="1"/>
    <x v="0"/>
    <x v="0"/>
    <x v="2"/>
    <x v="0"/>
  </r>
  <r>
    <x v="780"/>
    <x v="6"/>
    <x v="1"/>
    <x v="4"/>
    <x v="2"/>
    <x v="40"/>
    <x v="2"/>
    <x v="248"/>
    <x v="58"/>
    <x v="16"/>
    <x v="1"/>
    <x v="0"/>
    <x v="1"/>
    <x v="1"/>
    <x v="0"/>
  </r>
  <r>
    <x v="781"/>
    <x v="5"/>
    <x v="1"/>
    <x v="5"/>
    <x v="2"/>
    <x v="108"/>
    <x v="4"/>
    <x v="248"/>
    <x v="11"/>
    <x v="2"/>
    <x v="1"/>
    <x v="0"/>
    <x v="2"/>
    <x v="0"/>
    <x v="0"/>
  </r>
  <r>
    <x v="782"/>
    <x v="4"/>
    <x v="1"/>
    <x v="4"/>
    <x v="0"/>
    <x v="24"/>
    <x v="2"/>
    <x v="248"/>
    <x v="0"/>
    <x v="20"/>
    <x v="1"/>
    <x v="0"/>
    <x v="0"/>
    <x v="2"/>
    <x v="0"/>
  </r>
  <r>
    <x v="783"/>
    <x v="14"/>
    <x v="1"/>
    <x v="12"/>
    <x v="2"/>
    <x v="37"/>
    <x v="0"/>
    <x v="248"/>
    <x v="8"/>
    <x v="2"/>
    <x v="1"/>
    <x v="0"/>
    <x v="1"/>
    <x v="0"/>
    <x v="0"/>
  </r>
  <r>
    <x v="784"/>
    <x v="14"/>
    <x v="1"/>
    <x v="12"/>
    <x v="2"/>
    <x v="66"/>
    <x v="0"/>
    <x v="248"/>
    <x v="85"/>
    <x v="19"/>
    <x v="1"/>
    <x v="0"/>
    <x v="0"/>
    <x v="0"/>
    <x v="0"/>
  </r>
  <r>
    <x v="785"/>
    <x v="5"/>
    <x v="1"/>
    <x v="5"/>
    <x v="2"/>
    <x v="112"/>
    <x v="0"/>
    <x v="248"/>
    <x v="85"/>
    <x v="4"/>
    <x v="1"/>
    <x v="0"/>
    <x v="1"/>
    <x v="0"/>
    <x v="0"/>
  </r>
  <r>
    <x v="786"/>
    <x v="9"/>
    <x v="1"/>
    <x v="7"/>
    <x v="1"/>
    <x v="59"/>
    <x v="4"/>
    <x v="249"/>
    <x v="1"/>
    <x v="26"/>
    <x v="1"/>
    <x v="1"/>
    <x v="0"/>
    <x v="3"/>
    <x v="0"/>
  </r>
  <r>
    <x v="787"/>
    <x v="3"/>
    <x v="1"/>
    <x v="3"/>
    <x v="1"/>
    <x v="107"/>
    <x v="2"/>
    <x v="249"/>
    <x v="82"/>
    <x v="10"/>
    <x v="1"/>
    <x v="1"/>
    <x v="0"/>
    <x v="2"/>
    <x v="0"/>
  </r>
  <r>
    <x v="788"/>
    <x v="13"/>
    <x v="0"/>
    <x v="11"/>
    <x v="1"/>
    <x v="62"/>
    <x v="2"/>
    <x v="249"/>
    <x v="90"/>
    <x v="35"/>
    <x v="1"/>
    <x v="1"/>
    <x v="2"/>
    <x v="1"/>
    <x v="0"/>
  </r>
  <r>
    <x v="789"/>
    <x v="8"/>
    <x v="0"/>
    <x v="6"/>
    <x v="2"/>
    <x v="67"/>
    <x v="3"/>
    <x v="250"/>
    <x v="59"/>
    <x v="19"/>
    <x v="1"/>
    <x v="2"/>
    <x v="0"/>
    <x v="0"/>
    <x v="0"/>
  </r>
  <r>
    <x v="790"/>
    <x v="9"/>
    <x v="1"/>
    <x v="7"/>
    <x v="1"/>
    <x v="34"/>
    <x v="0"/>
    <x v="250"/>
    <x v="91"/>
    <x v="11"/>
    <x v="1"/>
    <x v="2"/>
    <x v="0"/>
    <x v="2"/>
    <x v="0"/>
  </r>
  <r>
    <x v="791"/>
    <x v="5"/>
    <x v="1"/>
    <x v="5"/>
    <x v="2"/>
    <x v="25"/>
    <x v="1"/>
    <x v="250"/>
    <x v="58"/>
    <x v="5"/>
    <x v="1"/>
    <x v="2"/>
    <x v="0"/>
    <x v="2"/>
    <x v="0"/>
  </r>
  <r>
    <x v="792"/>
    <x v="4"/>
    <x v="1"/>
    <x v="4"/>
    <x v="0"/>
    <x v="96"/>
    <x v="0"/>
    <x v="251"/>
    <x v="19"/>
    <x v="21"/>
    <x v="1"/>
    <x v="3"/>
    <x v="0"/>
    <x v="3"/>
    <x v="0"/>
  </r>
  <r>
    <x v="793"/>
    <x v="12"/>
    <x v="1"/>
    <x v="10"/>
    <x v="0"/>
    <x v="82"/>
    <x v="3"/>
    <x v="251"/>
    <x v="43"/>
    <x v="14"/>
    <x v="1"/>
    <x v="3"/>
    <x v="2"/>
    <x v="0"/>
    <x v="0"/>
  </r>
  <r>
    <x v="794"/>
    <x v="3"/>
    <x v="1"/>
    <x v="3"/>
    <x v="1"/>
    <x v="6"/>
    <x v="4"/>
    <x v="251"/>
    <x v="42"/>
    <x v="14"/>
    <x v="1"/>
    <x v="3"/>
    <x v="0"/>
    <x v="0"/>
    <x v="0"/>
  </r>
  <r>
    <x v="795"/>
    <x v="7"/>
    <x v="1"/>
    <x v="2"/>
    <x v="2"/>
    <x v="87"/>
    <x v="3"/>
    <x v="252"/>
    <x v="34"/>
    <x v="34"/>
    <x v="1"/>
    <x v="4"/>
    <x v="1"/>
    <x v="1"/>
    <x v="0"/>
  </r>
  <r>
    <x v="796"/>
    <x v="6"/>
    <x v="1"/>
    <x v="4"/>
    <x v="2"/>
    <x v="117"/>
    <x v="1"/>
    <x v="252"/>
    <x v="62"/>
    <x v="0"/>
    <x v="1"/>
    <x v="4"/>
    <x v="0"/>
    <x v="0"/>
    <x v="0"/>
  </r>
  <r>
    <x v="797"/>
    <x v="9"/>
    <x v="1"/>
    <x v="7"/>
    <x v="1"/>
    <x v="46"/>
    <x v="2"/>
    <x v="252"/>
    <x v="36"/>
    <x v="20"/>
    <x v="1"/>
    <x v="4"/>
    <x v="0"/>
    <x v="2"/>
    <x v="0"/>
  </r>
  <r>
    <x v="798"/>
    <x v="4"/>
    <x v="1"/>
    <x v="4"/>
    <x v="0"/>
    <x v="159"/>
    <x v="0"/>
    <x v="252"/>
    <x v="16"/>
    <x v="10"/>
    <x v="1"/>
    <x v="4"/>
    <x v="4"/>
    <x v="2"/>
    <x v="0"/>
  </r>
  <r>
    <x v="799"/>
    <x v="13"/>
    <x v="0"/>
    <x v="11"/>
    <x v="1"/>
    <x v="67"/>
    <x v="4"/>
    <x v="253"/>
    <x v="61"/>
    <x v="8"/>
    <x v="1"/>
    <x v="5"/>
    <x v="0"/>
    <x v="2"/>
    <x v="0"/>
  </r>
  <r>
    <x v="800"/>
    <x v="10"/>
    <x v="0"/>
    <x v="8"/>
    <x v="1"/>
    <x v="53"/>
    <x v="0"/>
    <x v="253"/>
    <x v="51"/>
    <x v="34"/>
    <x v="1"/>
    <x v="5"/>
    <x v="0"/>
    <x v="1"/>
    <x v="0"/>
  </r>
  <r>
    <x v="801"/>
    <x v="5"/>
    <x v="1"/>
    <x v="5"/>
    <x v="2"/>
    <x v="31"/>
    <x v="3"/>
    <x v="253"/>
    <x v="59"/>
    <x v="10"/>
    <x v="1"/>
    <x v="5"/>
    <x v="0"/>
    <x v="2"/>
    <x v="0"/>
  </r>
  <r>
    <x v="802"/>
    <x v="10"/>
    <x v="0"/>
    <x v="8"/>
    <x v="1"/>
    <x v="104"/>
    <x v="0"/>
    <x v="253"/>
    <x v="56"/>
    <x v="7"/>
    <x v="1"/>
    <x v="5"/>
    <x v="1"/>
    <x v="1"/>
    <x v="0"/>
  </r>
  <r>
    <x v="803"/>
    <x v="1"/>
    <x v="0"/>
    <x v="1"/>
    <x v="0"/>
    <x v="83"/>
    <x v="2"/>
    <x v="253"/>
    <x v="69"/>
    <x v="13"/>
    <x v="1"/>
    <x v="5"/>
    <x v="0"/>
    <x v="0"/>
    <x v="0"/>
  </r>
  <r>
    <x v="804"/>
    <x v="2"/>
    <x v="0"/>
    <x v="2"/>
    <x v="1"/>
    <x v="17"/>
    <x v="4"/>
    <x v="254"/>
    <x v="92"/>
    <x v="5"/>
    <x v="1"/>
    <x v="6"/>
    <x v="2"/>
    <x v="2"/>
    <x v="0"/>
  </r>
  <r>
    <x v="805"/>
    <x v="2"/>
    <x v="0"/>
    <x v="2"/>
    <x v="1"/>
    <x v="31"/>
    <x v="4"/>
    <x v="254"/>
    <x v="59"/>
    <x v="12"/>
    <x v="1"/>
    <x v="6"/>
    <x v="0"/>
    <x v="2"/>
    <x v="0"/>
  </r>
  <r>
    <x v="806"/>
    <x v="5"/>
    <x v="1"/>
    <x v="5"/>
    <x v="2"/>
    <x v="131"/>
    <x v="4"/>
    <x v="254"/>
    <x v="40"/>
    <x v="2"/>
    <x v="1"/>
    <x v="6"/>
    <x v="0"/>
    <x v="0"/>
    <x v="0"/>
  </r>
  <r>
    <x v="807"/>
    <x v="4"/>
    <x v="1"/>
    <x v="4"/>
    <x v="0"/>
    <x v="124"/>
    <x v="4"/>
    <x v="255"/>
    <x v="63"/>
    <x v="17"/>
    <x v="1"/>
    <x v="0"/>
    <x v="1"/>
    <x v="2"/>
    <x v="0"/>
  </r>
  <r>
    <x v="808"/>
    <x v="8"/>
    <x v="0"/>
    <x v="6"/>
    <x v="2"/>
    <x v="157"/>
    <x v="2"/>
    <x v="255"/>
    <x v="11"/>
    <x v="4"/>
    <x v="1"/>
    <x v="0"/>
    <x v="3"/>
    <x v="0"/>
    <x v="0"/>
  </r>
  <r>
    <x v="809"/>
    <x v="2"/>
    <x v="0"/>
    <x v="2"/>
    <x v="1"/>
    <x v="69"/>
    <x v="2"/>
    <x v="255"/>
    <x v="50"/>
    <x v="18"/>
    <x v="1"/>
    <x v="0"/>
    <x v="0"/>
    <x v="2"/>
    <x v="0"/>
  </r>
  <r>
    <x v="810"/>
    <x v="7"/>
    <x v="1"/>
    <x v="2"/>
    <x v="2"/>
    <x v="30"/>
    <x v="4"/>
    <x v="256"/>
    <x v="31"/>
    <x v="7"/>
    <x v="1"/>
    <x v="1"/>
    <x v="0"/>
    <x v="1"/>
    <x v="0"/>
  </r>
  <r>
    <x v="811"/>
    <x v="12"/>
    <x v="1"/>
    <x v="10"/>
    <x v="0"/>
    <x v="108"/>
    <x v="4"/>
    <x v="256"/>
    <x v="49"/>
    <x v="16"/>
    <x v="1"/>
    <x v="1"/>
    <x v="2"/>
    <x v="1"/>
    <x v="0"/>
  </r>
  <r>
    <x v="812"/>
    <x v="9"/>
    <x v="1"/>
    <x v="7"/>
    <x v="1"/>
    <x v="103"/>
    <x v="1"/>
    <x v="257"/>
    <x v="28"/>
    <x v="11"/>
    <x v="1"/>
    <x v="2"/>
    <x v="2"/>
    <x v="2"/>
    <x v="0"/>
  </r>
  <r>
    <x v="813"/>
    <x v="4"/>
    <x v="1"/>
    <x v="4"/>
    <x v="0"/>
    <x v="1"/>
    <x v="3"/>
    <x v="257"/>
    <x v="22"/>
    <x v="10"/>
    <x v="1"/>
    <x v="2"/>
    <x v="0"/>
    <x v="2"/>
    <x v="0"/>
  </r>
  <r>
    <x v="814"/>
    <x v="3"/>
    <x v="1"/>
    <x v="3"/>
    <x v="1"/>
    <x v="130"/>
    <x v="4"/>
    <x v="257"/>
    <x v="12"/>
    <x v="25"/>
    <x v="1"/>
    <x v="2"/>
    <x v="0"/>
    <x v="1"/>
    <x v="0"/>
  </r>
  <r>
    <x v="815"/>
    <x v="13"/>
    <x v="0"/>
    <x v="11"/>
    <x v="1"/>
    <x v="47"/>
    <x v="0"/>
    <x v="257"/>
    <x v="60"/>
    <x v="0"/>
    <x v="1"/>
    <x v="2"/>
    <x v="0"/>
    <x v="0"/>
    <x v="0"/>
  </r>
  <r>
    <x v="816"/>
    <x v="11"/>
    <x v="1"/>
    <x v="9"/>
    <x v="2"/>
    <x v="44"/>
    <x v="4"/>
    <x v="257"/>
    <x v="106"/>
    <x v="4"/>
    <x v="1"/>
    <x v="2"/>
    <x v="2"/>
    <x v="0"/>
    <x v="0"/>
  </r>
  <r>
    <x v="817"/>
    <x v="11"/>
    <x v="1"/>
    <x v="9"/>
    <x v="2"/>
    <x v="31"/>
    <x v="1"/>
    <x v="257"/>
    <x v="43"/>
    <x v="2"/>
    <x v="1"/>
    <x v="2"/>
    <x v="0"/>
    <x v="0"/>
    <x v="0"/>
  </r>
  <r>
    <x v="818"/>
    <x v="6"/>
    <x v="1"/>
    <x v="4"/>
    <x v="2"/>
    <x v="71"/>
    <x v="1"/>
    <x v="257"/>
    <x v="78"/>
    <x v="2"/>
    <x v="1"/>
    <x v="2"/>
    <x v="2"/>
    <x v="0"/>
    <x v="0"/>
  </r>
  <r>
    <x v="819"/>
    <x v="3"/>
    <x v="1"/>
    <x v="3"/>
    <x v="1"/>
    <x v="5"/>
    <x v="3"/>
    <x v="258"/>
    <x v="48"/>
    <x v="16"/>
    <x v="1"/>
    <x v="3"/>
    <x v="0"/>
    <x v="1"/>
    <x v="0"/>
  </r>
  <r>
    <x v="820"/>
    <x v="3"/>
    <x v="1"/>
    <x v="3"/>
    <x v="1"/>
    <x v="124"/>
    <x v="2"/>
    <x v="258"/>
    <x v="10"/>
    <x v="2"/>
    <x v="1"/>
    <x v="3"/>
    <x v="1"/>
    <x v="0"/>
    <x v="0"/>
  </r>
  <r>
    <x v="821"/>
    <x v="14"/>
    <x v="1"/>
    <x v="12"/>
    <x v="2"/>
    <x v="53"/>
    <x v="4"/>
    <x v="258"/>
    <x v="73"/>
    <x v="14"/>
    <x v="1"/>
    <x v="3"/>
    <x v="0"/>
    <x v="0"/>
    <x v="0"/>
  </r>
  <r>
    <x v="822"/>
    <x v="0"/>
    <x v="0"/>
    <x v="0"/>
    <x v="0"/>
    <x v="134"/>
    <x v="1"/>
    <x v="259"/>
    <x v="21"/>
    <x v="19"/>
    <x v="1"/>
    <x v="4"/>
    <x v="0"/>
    <x v="0"/>
    <x v="0"/>
  </r>
  <r>
    <x v="823"/>
    <x v="2"/>
    <x v="0"/>
    <x v="2"/>
    <x v="1"/>
    <x v="116"/>
    <x v="3"/>
    <x v="259"/>
    <x v="25"/>
    <x v="4"/>
    <x v="1"/>
    <x v="4"/>
    <x v="1"/>
    <x v="0"/>
    <x v="0"/>
  </r>
  <r>
    <x v="824"/>
    <x v="14"/>
    <x v="1"/>
    <x v="12"/>
    <x v="2"/>
    <x v="134"/>
    <x v="0"/>
    <x v="259"/>
    <x v="14"/>
    <x v="12"/>
    <x v="1"/>
    <x v="4"/>
    <x v="0"/>
    <x v="2"/>
    <x v="0"/>
  </r>
  <r>
    <x v="825"/>
    <x v="2"/>
    <x v="0"/>
    <x v="2"/>
    <x v="1"/>
    <x v="12"/>
    <x v="1"/>
    <x v="260"/>
    <x v="43"/>
    <x v="2"/>
    <x v="1"/>
    <x v="5"/>
    <x v="1"/>
    <x v="0"/>
    <x v="0"/>
  </r>
  <r>
    <x v="826"/>
    <x v="6"/>
    <x v="1"/>
    <x v="4"/>
    <x v="2"/>
    <x v="55"/>
    <x v="4"/>
    <x v="261"/>
    <x v="87"/>
    <x v="4"/>
    <x v="1"/>
    <x v="6"/>
    <x v="1"/>
    <x v="0"/>
    <x v="0"/>
  </r>
  <r>
    <x v="827"/>
    <x v="0"/>
    <x v="0"/>
    <x v="0"/>
    <x v="0"/>
    <x v="130"/>
    <x v="0"/>
    <x v="261"/>
    <x v="85"/>
    <x v="2"/>
    <x v="1"/>
    <x v="6"/>
    <x v="0"/>
    <x v="0"/>
    <x v="0"/>
  </r>
  <r>
    <x v="828"/>
    <x v="1"/>
    <x v="0"/>
    <x v="1"/>
    <x v="0"/>
    <x v="35"/>
    <x v="2"/>
    <x v="261"/>
    <x v="21"/>
    <x v="12"/>
    <x v="1"/>
    <x v="6"/>
    <x v="1"/>
    <x v="2"/>
    <x v="0"/>
  </r>
  <r>
    <x v="829"/>
    <x v="13"/>
    <x v="0"/>
    <x v="11"/>
    <x v="1"/>
    <x v="19"/>
    <x v="2"/>
    <x v="261"/>
    <x v="7"/>
    <x v="11"/>
    <x v="1"/>
    <x v="6"/>
    <x v="0"/>
    <x v="2"/>
    <x v="0"/>
  </r>
  <r>
    <x v="830"/>
    <x v="5"/>
    <x v="1"/>
    <x v="5"/>
    <x v="2"/>
    <x v="118"/>
    <x v="2"/>
    <x v="261"/>
    <x v="95"/>
    <x v="19"/>
    <x v="1"/>
    <x v="6"/>
    <x v="1"/>
    <x v="0"/>
    <x v="0"/>
  </r>
  <r>
    <x v="831"/>
    <x v="0"/>
    <x v="0"/>
    <x v="0"/>
    <x v="0"/>
    <x v="123"/>
    <x v="0"/>
    <x v="261"/>
    <x v="13"/>
    <x v="1"/>
    <x v="1"/>
    <x v="6"/>
    <x v="3"/>
    <x v="1"/>
    <x v="0"/>
  </r>
  <r>
    <x v="832"/>
    <x v="4"/>
    <x v="1"/>
    <x v="4"/>
    <x v="0"/>
    <x v="37"/>
    <x v="4"/>
    <x v="262"/>
    <x v="49"/>
    <x v="4"/>
    <x v="1"/>
    <x v="0"/>
    <x v="1"/>
    <x v="0"/>
    <x v="0"/>
  </r>
  <r>
    <x v="833"/>
    <x v="1"/>
    <x v="0"/>
    <x v="1"/>
    <x v="0"/>
    <x v="108"/>
    <x v="1"/>
    <x v="262"/>
    <x v="94"/>
    <x v="0"/>
    <x v="1"/>
    <x v="0"/>
    <x v="2"/>
    <x v="0"/>
    <x v="0"/>
  </r>
  <r>
    <x v="834"/>
    <x v="4"/>
    <x v="1"/>
    <x v="4"/>
    <x v="0"/>
    <x v="95"/>
    <x v="4"/>
    <x v="262"/>
    <x v="25"/>
    <x v="7"/>
    <x v="1"/>
    <x v="0"/>
    <x v="0"/>
    <x v="1"/>
    <x v="0"/>
  </r>
  <r>
    <x v="835"/>
    <x v="4"/>
    <x v="1"/>
    <x v="4"/>
    <x v="0"/>
    <x v="71"/>
    <x v="2"/>
    <x v="262"/>
    <x v="24"/>
    <x v="12"/>
    <x v="1"/>
    <x v="0"/>
    <x v="2"/>
    <x v="2"/>
    <x v="0"/>
  </r>
  <r>
    <x v="836"/>
    <x v="5"/>
    <x v="1"/>
    <x v="5"/>
    <x v="2"/>
    <x v="120"/>
    <x v="1"/>
    <x v="262"/>
    <x v="38"/>
    <x v="10"/>
    <x v="1"/>
    <x v="0"/>
    <x v="0"/>
    <x v="2"/>
    <x v="0"/>
  </r>
  <r>
    <x v="837"/>
    <x v="3"/>
    <x v="1"/>
    <x v="3"/>
    <x v="1"/>
    <x v="122"/>
    <x v="4"/>
    <x v="263"/>
    <x v="45"/>
    <x v="10"/>
    <x v="1"/>
    <x v="1"/>
    <x v="1"/>
    <x v="2"/>
    <x v="0"/>
  </r>
  <r>
    <x v="838"/>
    <x v="5"/>
    <x v="1"/>
    <x v="5"/>
    <x v="2"/>
    <x v="120"/>
    <x v="1"/>
    <x v="263"/>
    <x v="92"/>
    <x v="38"/>
    <x v="1"/>
    <x v="1"/>
    <x v="0"/>
    <x v="3"/>
    <x v="0"/>
  </r>
  <r>
    <x v="839"/>
    <x v="11"/>
    <x v="1"/>
    <x v="9"/>
    <x v="2"/>
    <x v="6"/>
    <x v="4"/>
    <x v="263"/>
    <x v="38"/>
    <x v="35"/>
    <x v="1"/>
    <x v="1"/>
    <x v="0"/>
    <x v="1"/>
    <x v="0"/>
  </r>
  <r>
    <x v="840"/>
    <x v="14"/>
    <x v="1"/>
    <x v="12"/>
    <x v="2"/>
    <x v="81"/>
    <x v="1"/>
    <x v="263"/>
    <x v="28"/>
    <x v="18"/>
    <x v="1"/>
    <x v="1"/>
    <x v="2"/>
    <x v="2"/>
    <x v="0"/>
  </r>
  <r>
    <x v="841"/>
    <x v="3"/>
    <x v="1"/>
    <x v="3"/>
    <x v="1"/>
    <x v="78"/>
    <x v="4"/>
    <x v="263"/>
    <x v="100"/>
    <x v="20"/>
    <x v="1"/>
    <x v="1"/>
    <x v="3"/>
    <x v="2"/>
    <x v="0"/>
  </r>
  <r>
    <x v="842"/>
    <x v="2"/>
    <x v="0"/>
    <x v="2"/>
    <x v="1"/>
    <x v="69"/>
    <x v="3"/>
    <x v="263"/>
    <x v="79"/>
    <x v="18"/>
    <x v="1"/>
    <x v="1"/>
    <x v="0"/>
    <x v="2"/>
    <x v="0"/>
  </r>
  <r>
    <x v="843"/>
    <x v="5"/>
    <x v="1"/>
    <x v="5"/>
    <x v="2"/>
    <x v="65"/>
    <x v="0"/>
    <x v="264"/>
    <x v="82"/>
    <x v="5"/>
    <x v="1"/>
    <x v="2"/>
    <x v="1"/>
    <x v="2"/>
    <x v="0"/>
  </r>
  <r>
    <x v="844"/>
    <x v="7"/>
    <x v="1"/>
    <x v="2"/>
    <x v="2"/>
    <x v="74"/>
    <x v="4"/>
    <x v="264"/>
    <x v="46"/>
    <x v="9"/>
    <x v="1"/>
    <x v="2"/>
    <x v="0"/>
    <x v="2"/>
    <x v="0"/>
  </r>
  <r>
    <x v="845"/>
    <x v="6"/>
    <x v="1"/>
    <x v="4"/>
    <x v="2"/>
    <x v="23"/>
    <x v="4"/>
    <x v="265"/>
    <x v="18"/>
    <x v="2"/>
    <x v="1"/>
    <x v="3"/>
    <x v="1"/>
    <x v="0"/>
    <x v="0"/>
  </r>
  <r>
    <x v="846"/>
    <x v="3"/>
    <x v="1"/>
    <x v="3"/>
    <x v="1"/>
    <x v="160"/>
    <x v="2"/>
    <x v="265"/>
    <x v="42"/>
    <x v="3"/>
    <x v="1"/>
    <x v="3"/>
    <x v="1"/>
    <x v="1"/>
    <x v="0"/>
  </r>
  <r>
    <x v="847"/>
    <x v="6"/>
    <x v="1"/>
    <x v="4"/>
    <x v="2"/>
    <x v="76"/>
    <x v="4"/>
    <x v="265"/>
    <x v="20"/>
    <x v="25"/>
    <x v="1"/>
    <x v="3"/>
    <x v="1"/>
    <x v="1"/>
    <x v="0"/>
  </r>
  <r>
    <x v="848"/>
    <x v="1"/>
    <x v="0"/>
    <x v="1"/>
    <x v="0"/>
    <x v="146"/>
    <x v="2"/>
    <x v="265"/>
    <x v="31"/>
    <x v="7"/>
    <x v="1"/>
    <x v="3"/>
    <x v="0"/>
    <x v="1"/>
    <x v="0"/>
  </r>
  <r>
    <x v="849"/>
    <x v="0"/>
    <x v="0"/>
    <x v="0"/>
    <x v="0"/>
    <x v="122"/>
    <x v="1"/>
    <x v="265"/>
    <x v="83"/>
    <x v="4"/>
    <x v="1"/>
    <x v="3"/>
    <x v="1"/>
    <x v="0"/>
    <x v="0"/>
  </r>
  <r>
    <x v="850"/>
    <x v="8"/>
    <x v="0"/>
    <x v="6"/>
    <x v="2"/>
    <x v="94"/>
    <x v="3"/>
    <x v="266"/>
    <x v="87"/>
    <x v="12"/>
    <x v="1"/>
    <x v="4"/>
    <x v="1"/>
    <x v="2"/>
    <x v="0"/>
  </r>
  <r>
    <x v="851"/>
    <x v="0"/>
    <x v="0"/>
    <x v="0"/>
    <x v="0"/>
    <x v="54"/>
    <x v="2"/>
    <x v="266"/>
    <x v="39"/>
    <x v="14"/>
    <x v="1"/>
    <x v="4"/>
    <x v="2"/>
    <x v="0"/>
    <x v="0"/>
  </r>
  <r>
    <x v="852"/>
    <x v="11"/>
    <x v="1"/>
    <x v="9"/>
    <x v="2"/>
    <x v="62"/>
    <x v="1"/>
    <x v="266"/>
    <x v="59"/>
    <x v="6"/>
    <x v="1"/>
    <x v="4"/>
    <x v="2"/>
    <x v="2"/>
    <x v="0"/>
  </r>
  <r>
    <x v="853"/>
    <x v="7"/>
    <x v="1"/>
    <x v="2"/>
    <x v="2"/>
    <x v="55"/>
    <x v="4"/>
    <x v="266"/>
    <x v="28"/>
    <x v="20"/>
    <x v="1"/>
    <x v="4"/>
    <x v="1"/>
    <x v="2"/>
    <x v="0"/>
  </r>
  <r>
    <x v="854"/>
    <x v="3"/>
    <x v="1"/>
    <x v="3"/>
    <x v="1"/>
    <x v="30"/>
    <x v="4"/>
    <x v="266"/>
    <x v="31"/>
    <x v="8"/>
    <x v="1"/>
    <x v="4"/>
    <x v="0"/>
    <x v="2"/>
    <x v="0"/>
  </r>
  <r>
    <x v="855"/>
    <x v="11"/>
    <x v="1"/>
    <x v="9"/>
    <x v="2"/>
    <x v="116"/>
    <x v="3"/>
    <x v="267"/>
    <x v="24"/>
    <x v="2"/>
    <x v="1"/>
    <x v="5"/>
    <x v="1"/>
    <x v="0"/>
    <x v="0"/>
  </r>
  <r>
    <x v="856"/>
    <x v="8"/>
    <x v="0"/>
    <x v="6"/>
    <x v="2"/>
    <x v="28"/>
    <x v="2"/>
    <x v="267"/>
    <x v="101"/>
    <x v="8"/>
    <x v="1"/>
    <x v="5"/>
    <x v="0"/>
    <x v="2"/>
    <x v="0"/>
  </r>
  <r>
    <x v="857"/>
    <x v="4"/>
    <x v="1"/>
    <x v="4"/>
    <x v="0"/>
    <x v="73"/>
    <x v="0"/>
    <x v="268"/>
    <x v="1"/>
    <x v="10"/>
    <x v="1"/>
    <x v="6"/>
    <x v="2"/>
    <x v="2"/>
    <x v="0"/>
  </r>
  <r>
    <x v="858"/>
    <x v="4"/>
    <x v="1"/>
    <x v="4"/>
    <x v="0"/>
    <x v="113"/>
    <x v="2"/>
    <x v="268"/>
    <x v="88"/>
    <x v="4"/>
    <x v="1"/>
    <x v="6"/>
    <x v="0"/>
    <x v="0"/>
    <x v="0"/>
  </r>
  <r>
    <x v="859"/>
    <x v="12"/>
    <x v="1"/>
    <x v="10"/>
    <x v="0"/>
    <x v="101"/>
    <x v="2"/>
    <x v="268"/>
    <x v="4"/>
    <x v="9"/>
    <x v="1"/>
    <x v="6"/>
    <x v="2"/>
    <x v="2"/>
    <x v="0"/>
  </r>
  <r>
    <x v="860"/>
    <x v="14"/>
    <x v="1"/>
    <x v="12"/>
    <x v="2"/>
    <x v="17"/>
    <x v="3"/>
    <x v="269"/>
    <x v="31"/>
    <x v="2"/>
    <x v="1"/>
    <x v="0"/>
    <x v="2"/>
    <x v="0"/>
    <x v="0"/>
  </r>
  <r>
    <x v="861"/>
    <x v="1"/>
    <x v="0"/>
    <x v="1"/>
    <x v="0"/>
    <x v="22"/>
    <x v="1"/>
    <x v="269"/>
    <x v="83"/>
    <x v="6"/>
    <x v="1"/>
    <x v="0"/>
    <x v="0"/>
    <x v="2"/>
    <x v="0"/>
  </r>
  <r>
    <x v="862"/>
    <x v="14"/>
    <x v="1"/>
    <x v="12"/>
    <x v="2"/>
    <x v="77"/>
    <x v="4"/>
    <x v="269"/>
    <x v="24"/>
    <x v="14"/>
    <x v="1"/>
    <x v="0"/>
    <x v="0"/>
    <x v="0"/>
    <x v="0"/>
  </r>
  <r>
    <x v="863"/>
    <x v="14"/>
    <x v="1"/>
    <x v="12"/>
    <x v="2"/>
    <x v="39"/>
    <x v="0"/>
    <x v="270"/>
    <x v="83"/>
    <x v="9"/>
    <x v="1"/>
    <x v="1"/>
    <x v="2"/>
    <x v="2"/>
    <x v="0"/>
  </r>
  <r>
    <x v="864"/>
    <x v="8"/>
    <x v="0"/>
    <x v="6"/>
    <x v="2"/>
    <x v="74"/>
    <x v="3"/>
    <x v="270"/>
    <x v="5"/>
    <x v="14"/>
    <x v="1"/>
    <x v="1"/>
    <x v="0"/>
    <x v="0"/>
    <x v="0"/>
  </r>
  <r>
    <x v="865"/>
    <x v="4"/>
    <x v="1"/>
    <x v="4"/>
    <x v="0"/>
    <x v="79"/>
    <x v="4"/>
    <x v="271"/>
    <x v="81"/>
    <x v="10"/>
    <x v="1"/>
    <x v="2"/>
    <x v="3"/>
    <x v="2"/>
    <x v="0"/>
  </r>
  <r>
    <x v="866"/>
    <x v="12"/>
    <x v="1"/>
    <x v="10"/>
    <x v="0"/>
    <x v="113"/>
    <x v="0"/>
    <x v="271"/>
    <x v="102"/>
    <x v="12"/>
    <x v="1"/>
    <x v="2"/>
    <x v="0"/>
    <x v="2"/>
    <x v="0"/>
  </r>
  <r>
    <x v="867"/>
    <x v="3"/>
    <x v="1"/>
    <x v="3"/>
    <x v="1"/>
    <x v="21"/>
    <x v="1"/>
    <x v="271"/>
    <x v="67"/>
    <x v="6"/>
    <x v="1"/>
    <x v="2"/>
    <x v="0"/>
    <x v="2"/>
    <x v="0"/>
  </r>
  <r>
    <x v="868"/>
    <x v="13"/>
    <x v="0"/>
    <x v="11"/>
    <x v="1"/>
    <x v="69"/>
    <x v="1"/>
    <x v="271"/>
    <x v="28"/>
    <x v="6"/>
    <x v="1"/>
    <x v="2"/>
    <x v="0"/>
    <x v="2"/>
    <x v="0"/>
  </r>
  <r>
    <x v="869"/>
    <x v="13"/>
    <x v="0"/>
    <x v="11"/>
    <x v="1"/>
    <x v="2"/>
    <x v="1"/>
    <x v="272"/>
    <x v="13"/>
    <x v="9"/>
    <x v="1"/>
    <x v="3"/>
    <x v="0"/>
    <x v="2"/>
    <x v="0"/>
  </r>
  <r>
    <x v="870"/>
    <x v="12"/>
    <x v="1"/>
    <x v="10"/>
    <x v="0"/>
    <x v="58"/>
    <x v="1"/>
    <x v="272"/>
    <x v="29"/>
    <x v="18"/>
    <x v="1"/>
    <x v="3"/>
    <x v="0"/>
    <x v="2"/>
    <x v="0"/>
  </r>
  <r>
    <x v="871"/>
    <x v="12"/>
    <x v="1"/>
    <x v="10"/>
    <x v="0"/>
    <x v="99"/>
    <x v="0"/>
    <x v="273"/>
    <x v="38"/>
    <x v="12"/>
    <x v="1"/>
    <x v="4"/>
    <x v="0"/>
    <x v="2"/>
    <x v="0"/>
  </r>
  <r>
    <x v="872"/>
    <x v="9"/>
    <x v="1"/>
    <x v="7"/>
    <x v="1"/>
    <x v="66"/>
    <x v="2"/>
    <x v="273"/>
    <x v="67"/>
    <x v="11"/>
    <x v="1"/>
    <x v="4"/>
    <x v="0"/>
    <x v="2"/>
    <x v="0"/>
  </r>
  <r>
    <x v="873"/>
    <x v="7"/>
    <x v="1"/>
    <x v="2"/>
    <x v="2"/>
    <x v="161"/>
    <x v="0"/>
    <x v="273"/>
    <x v="59"/>
    <x v="5"/>
    <x v="1"/>
    <x v="4"/>
    <x v="1"/>
    <x v="2"/>
    <x v="0"/>
  </r>
  <r>
    <x v="874"/>
    <x v="4"/>
    <x v="1"/>
    <x v="4"/>
    <x v="0"/>
    <x v="98"/>
    <x v="0"/>
    <x v="273"/>
    <x v="30"/>
    <x v="2"/>
    <x v="1"/>
    <x v="4"/>
    <x v="3"/>
    <x v="0"/>
    <x v="0"/>
  </r>
  <r>
    <x v="875"/>
    <x v="1"/>
    <x v="0"/>
    <x v="1"/>
    <x v="0"/>
    <x v="30"/>
    <x v="0"/>
    <x v="274"/>
    <x v="21"/>
    <x v="6"/>
    <x v="1"/>
    <x v="5"/>
    <x v="0"/>
    <x v="2"/>
    <x v="0"/>
  </r>
  <r>
    <x v="876"/>
    <x v="3"/>
    <x v="1"/>
    <x v="3"/>
    <x v="1"/>
    <x v="156"/>
    <x v="2"/>
    <x v="274"/>
    <x v="4"/>
    <x v="30"/>
    <x v="1"/>
    <x v="5"/>
    <x v="0"/>
    <x v="3"/>
    <x v="0"/>
  </r>
  <r>
    <x v="877"/>
    <x v="8"/>
    <x v="0"/>
    <x v="6"/>
    <x v="2"/>
    <x v="113"/>
    <x v="2"/>
    <x v="274"/>
    <x v="10"/>
    <x v="4"/>
    <x v="1"/>
    <x v="5"/>
    <x v="0"/>
    <x v="0"/>
    <x v="0"/>
  </r>
  <r>
    <x v="878"/>
    <x v="7"/>
    <x v="1"/>
    <x v="2"/>
    <x v="2"/>
    <x v="70"/>
    <x v="3"/>
    <x v="275"/>
    <x v="81"/>
    <x v="12"/>
    <x v="1"/>
    <x v="6"/>
    <x v="1"/>
    <x v="2"/>
    <x v="0"/>
  </r>
  <r>
    <x v="879"/>
    <x v="7"/>
    <x v="1"/>
    <x v="2"/>
    <x v="2"/>
    <x v="90"/>
    <x v="2"/>
    <x v="275"/>
    <x v="101"/>
    <x v="30"/>
    <x v="1"/>
    <x v="6"/>
    <x v="0"/>
    <x v="3"/>
    <x v="0"/>
  </r>
  <r>
    <x v="880"/>
    <x v="7"/>
    <x v="1"/>
    <x v="2"/>
    <x v="2"/>
    <x v="53"/>
    <x v="2"/>
    <x v="275"/>
    <x v="45"/>
    <x v="4"/>
    <x v="1"/>
    <x v="6"/>
    <x v="0"/>
    <x v="0"/>
    <x v="0"/>
  </r>
  <r>
    <x v="881"/>
    <x v="7"/>
    <x v="1"/>
    <x v="2"/>
    <x v="2"/>
    <x v="157"/>
    <x v="4"/>
    <x v="275"/>
    <x v="94"/>
    <x v="27"/>
    <x v="1"/>
    <x v="6"/>
    <x v="3"/>
    <x v="1"/>
    <x v="0"/>
  </r>
  <r>
    <x v="882"/>
    <x v="3"/>
    <x v="1"/>
    <x v="3"/>
    <x v="1"/>
    <x v="41"/>
    <x v="3"/>
    <x v="275"/>
    <x v="69"/>
    <x v="27"/>
    <x v="1"/>
    <x v="6"/>
    <x v="0"/>
    <x v="1"/>
    <x v="0"/>
  </r>
  <r>
    <x v="883"/>
    <x v="6"/>
    <x v="1"/>
    <x v="4"/>
    <x v="2"/>
    <x v="50"/>
    <x v="1"/>
    <x v="276"/>
    <x v="66"/>
    <x v="7"/>
    <x v="1"/>
    <x v="0"/>
    <x v="0"/>
    <x v="1"/>
    <x v="0"/>
  </r>
  <r>
    <x v="884"/>
    <x v="10"/>
    <x v="0"/>
    <x v="8"/>
    <x v="1"/>
    <x v="103"/>
    <x v="0"/>
    <x v="276"/>
    <x v="21"/>
    <x v="20"/>
    <x v="1"/>
    <x v="0"/>
    <x v="2"/>
    <x v="2"/>
    <x v="0"/>
  </r>
  <r>
    <x v="885"/>
    <x v="6"/>
    <x v="1"/>
    <x v="4"/>
    <x v="2"/>
    <x v="52"/>
    <x v="1"/>
    <x v="276"/>
    <x v="12"/>
    <x v="15"/>
    <x v="1"/>
    <x v="0"/>
    <x v="1"/>
    <x v="3"/>
    <x v="0"/>
  </r>
  <r>
    <x v="886"/>
    <x v="1"/>
    <x v="0"/>
    <x v="1"/>
    <x v="0"/>
    <x v="7"/>
    <x v="4"/>
    <x v="277"/>
    <x v="7"/>
    <x v="6"/>
    <x v="1"/>
    <x v="1"/>
    <x v="2"/>
    <x v="2"/>
    <x v="0"/>
  </r>
  <r>
    <x v="887"/>
    <x v="13"/>
    <x v="0"/>
    <x v="11"/>
    <x v="1"/>
    <x v="112"/>
    <x v="0"/>
    <x v="277"/>
    <x v="45"/>
    <x v="11"/>
    <x v="1"/>
    <x v="1"/>
    <x v="1"/>
    <x v="2"/>
    <x v="0"/>
  </r>
  <r>
    <x v="888"/>
    <x v="9"/>
    <x v="1"/>
    <x v="7"/>
    <x v="1"/>
    <x v="84"/>
    <x v="0"/>
    <x v="277"/>
    <x v="95"/>
    <x v="22"/>
    <x v="1"/>
    <x v="1"/>
    <x v="0"/>
    <x v="1"/>
    <x v="0"/>
  </r>
  <r>
    <x v="889"/>
    <x v="0"/>
    <x v="0"/>
    <x v="0"/>
    <x v="0"/>
    <x v="96"/>
    <x v="4"/>
    <x v="278"/>
    <x v="44"/>
    <x v="5"/>
    <x v="1"/>
    <x v="2"/>
    <x v="0"/>
    <x v="2"/>
    <x v="0"/>
  </r>
  <r>
    <x v="890"/>
    <x v="2"/>
    <x v="0"/>
    <x v="2"/>
    <x v="1"/>
    <x v="133"/>
    <x v="3"/>
    <x v="279"/>
    <x v="2"/>
    <x v="4"/>
    <x v="1"/>
    <x v="3"/>
    <x v="1"/>
    <x v="0"/>
    <x v="0"/>
  </r>
  <r>
    <x v="891"/>
    <x v="14"/>
    <x v="1"/>
    <x v="12"/>
    <x v="2"/>
    <x v="63"/>
    <x v="1"/>
    <x v="279"/>
    <x v="38"/>
    <x v="8"/>
    <x v="1"/>
    <x v="3"/>
    <x v="0"/>
    <x v="2"/>
    <x v="0"/>
  </r>
  <r>
    <x v="892"/>
    <x v="3"/>
    <x v="1"/>
    <x v="3"/>
    <x v="1"/>
    <x v="6"/>
    <x v="3"/>
    <x v="280"/>
    <x v="2"/>
    <x v="5"/>
    <x v="1"/>
    <x v="4"/>
    <x v="0"/>
    <x v="2"/>
    <x v="0"/>
  </r>
  <r>
    <x v="893"/>
    <x v="13"/>
    <x v="0"/>
    <x v="11"/>
    <x v="1"/>
    <x v="108"/>
    <x v="4"/>
    <x v="281"/>
    <x v="42"/>
    <x v="11"/>
    <x v="1"/>
    <x v="5"/>
    <x v="2"/>
    <x v="2"/>
    <x v="0"/>
  </r>
  <r>
    <x v="894"/>
    <x v="12"/>
    <x v="1"/>
    <x v="10"/>
    <x v="0"/>
    <x v="59"/>
    <x v="0"/>
    <x v="282"/>
    <x v="89"/>
    <x v="11"/>
    <x v="1"/>
    <x v="6"/>
    <x v="0"/>
    <x v="2"/>
    <x v="0"/>
  </r>
  <r>
    <x v="895"/>
    <x v="13"/>
    <x v="0"/>
    <x v="11"/>
    <x v="1"/>
    <x v="141"/>
    <x v="2"/>
    <x v="282"/>
    <x v="70"/>
    <x v="19"/>
    <x v="1"/>
    <x v="6"/>
    <x v="0"/>
    <x v="0"/>
    <x v="0"/>
  </r>
  <r>
    <x v="896"/>
    <x v="5"/>
    <x v="1"/>
    <x v="5"/>
    <x v="2"/>
    <x v="143"/>
    <x v="1"/>
    <x v="283"/>
    <x v="96"/>
    <x v="13"/>
    <x v="1"/>
    <x v="1"/>
    <x v="2"/>
    <x v="0"/>
    <x v="0"/>
  </r>
  <r>
    <x v="897"/>
    <x v="3"/>
    <x v="1"/>
    <x v="3"/>
    <x v="1"/>
    <x v="28"/>
    <x v="3"/>
    <x v="284"/>
    <x v="54"/>
    <x v="23"/>
    <x v="1"/>
    <x v="2"/>
    <x v="0"/>
    <x v="1"/>
    <x v="0"/>
  </r>
  <r>
    <x v="898"/>
    <x v="2"/>
    <x v="0"/>
    <x v="2"/>
    <x v="1"/>
    <x v="129"/>
    <x v="4"/>
    <x v="284"/>
    <x v="27"/>
    <x v="20"/>
    <x v="1"/>
    <x v="2"/>
    <x v="0"/>
    <x v="2"/>
    <x v="0"/>
  </r>
  <r>
    <x v="899"/>
    <x v="11"/>
    <x v="1"/>
    <x v="9"/>
    <x v="2"/>
    <x v="33"/>
    <x v="0"/>
    <x v="285"/>
    <x v="42"/>
    <x v="34"/>
    <x v="1"/>
    <x v="3"/>
    <x v="0"/>
    <x v="1"/>
    <x v="0"/>
  </r>
  <r>
    <x v="900"/>
    <x v="11"/>
    <x v="1"/>
    <x v="9"/>
    <x v="2"/>
    <x v="78"/>
    <x v="4"/>
    <x v="285"/>
    <x v="59"/>
    <x v="9"/>
    <x v="1"/>
    <x v="3"/>
    <x v="3"/>
    <x v="2"/>
    <x v="0"/>
  </r>
  <r>
    <x v="901"/>
    <x v="2"/>
    <x v="0"/>
    <x v="2"/>
    <x v="1"/>
    <x v="108"/>
    <x v="1"/>
    <x v="285"/>
    <x v="55"/>
    <x v="27"/>
    <x v="1"/>
    <x v="3"/>
    <x v="2"/>
    <x v="1"/>
    <x v="0"/>
  </r>
  <r>
    <x v="902"/>
    <x v="11"/>
    <x v="1"/>
    <x v="9"/>
    <x v="2"/>
    <x v="89"/>
    <x v="2"/>
    <x v="285"/>
    <x v="59"/>
    <x v="19"/>
    <x v="1"/>
    <x v="3"/>
    <x v="1"/>
    <x v="0"/>
    <x v="0"/>
  </r>
  <r>
    <x v="903"/>
    <x v="1"/>
    <x v="0"/>
    <x v="1"/>
    <x v="0"/>
    <x v="130"/>
    <x v="3"/>
    <x v="286"/>
    <x v="58"/>
    <x v="34"/>
    <x v="1"/>
    <x v="4"/>
    <x v="0"/>
    <x v="1"/>
    <x v="0"/>
  </r>
  <r>
    <x v="904"/>
    <x v="12"/>
    <x v="1"/>
    <x v="10"/>
    <x v="0"/>
    <x v="55"/>
    <x v="0"/>
    <x v="286"/>
    <x v="46"/>
    <x v="8"/>
    <x v="1"/>
    <x v="4"/>
    <x v="1"/>
    <x v="2"/>
    <x v="0"/>
  </r>
  <r>
    <x v="905"/>
    <x v="3"/>
    <x v="1"/>
    <x v="3"/>
    <x v="1"/>
    <x v="50"/>
    <x v="1"/>
    <x v="287"/>
    <x v="32"/>
    <x v="6"/>
    <x v="1"/>
    <x v="5"/>
    <x v="0"/>
    <x v="2"/>
    <x v="0"/>
  </r>
  <r>
    <x v="906"/>
    <x v="6"/>
    <x v="1"/>
    <x v="4"/>
    <x v="2"/>
    <x v="34"/>
    <x v="3"/>
    <x v="287"/>
    <x v="66"/>
    <x v="0"/>
    <x v="1"/>
    <x v="5"/>
    <x v="0"/>
    <x v="0"/>
    <x v="0"/>
  </r>
  <r>
    <x v="907"/>
    <x v="0"/>
    <x v="0"/>
    <x v="0"/>
    <x v="0"/>
    <x v="48"/>
    <x v="1"/>
    <x v="287"/>
    <x v="21"/>
    <x v="10"/>
    <x v="1"/>
    <x v="5"/>
    <x v="0"/>
    <x v="2"/>
    <x v="0"/>
  </r>
  <r>
    <x v="908"/>
    <x v="11"/>
    <x v="1"/>
    <x v="9"/>
    <x v="2"/>
    <x v="5"/>
    <x v="3"/>
    <x v="288"/>
    <x v="2"/>
    <x v="2"/>
    <x v="1"/>
    <x v="6"/>
    <x v="0"/>
    <x v="0"/>
    <x v="0"/>
  </r>
  <r>
    <x v="909"/>
    <x v="8"/>
    <x v="0"/>
    <x v="6"/>
    <x v="2"/>
    <x v="34"/>
    <x v="0"/>
    <x v="288"/>
    <x v="50"/>
    <x v="14"/>
    <x v="1"/>
    <x v="6"/>
    <x v="0"/>
    <x v="0"/>
    <x v="0"/>
  </r>
  <r>
    <x v="910"/>
    <x v="6"/>
    <x v="1"/>
    <x v="4"/>
    <x v="2"/>
    <x v="148"/>
    <x v="0"/>
    <x v="289"/>
    <x v="96"/>
    <x v="14"/>
    <x v="1"/>
    <x v="0"/>
    <x v="1"/>
    <x v="0"/>
    <x v="0"/>
  </r>
  <r>
    <x v="911"/>
    <x v="7"/>
    <x v="1"/>
    <x v="2"/>
    <x v="2"/>
    <x v="63"/>
    <x v="4"/>
    <x v="290"/>
    <x v="97"/>
    <x v="5"/>
    <x v="1"/>
    <x v="1"/>
    <x v="0"/>
    <x v="2"/>
    <x v="0"/>
  </r>
  <r>
    <x v="912"/>
    <x v="13"/>
    <x v="0"/>
    <x v="11"/>
    <x v="1"/>
    <x v="25"/>
    <x v="0"/>
    <x v="290"/>
    <x v="60"/>
    <x v="17"/>
    <x v="1"/>
    <x v="1"/>
    <x v="0"/>
    <x v="2"/>
    <x v="0"/>
  </r>
  <r>
    <x v="913"/>
    <x v="9"/>
    <x v="1"/>
    <x v="7"/>
    <x v="1"/>
    <x v="129"/>
    <x v="2"/>
    <x v="290"/>
    <x v="10"/>
    <x v="11"/>
    <x v="1"/>
    <x v="1"/>
    <x v="0"/>
    <x v="2"/>
    <x v="0"/>
  </r>
  <r>
    <x v="914"/>
    <x v="8"/>
    <x v="0"/>
    <x v="6"/>
    <x v="2"/>
    <x v="121"/>
    <x v="0"/>
    <x v="291"/>
    <x v="57"/>
    <x v="18"/>
    <x v="1"/>
    <x v="2"/>
    <x v="2"/>
    <x v="2"/>
    <x v="0"/>
  </r>
  <r>
    <x v="915"/>
    <x v="6"/>
    <x v="1"/>
    <x v="4"/>
    <x v="2"/>
    <x v="40"/>
    <x v="1"/>
    <x v="291"/>
    <x v="85"/>
    <x v="30"/>
    <x v="1"/>
    <x v="2"/>
    <x v="1"/>
    <x v="3"/>
    <x v="0"/>
  </r>
  <r>
    <x v="916"/>
    <x v="13"/>
    <x v="0"/>
    <x v="11"/>
    <x v="1"/>
    <x v="87"/>
    <x v="4"/>
    <x v="291"/>
    <x v="7"/>
    <x v="10"/>
    <x v="1"/>
    <x v="2"/>
    <x v="1"/>
    <x v="2"/>
    <x v="0"/>
  </r>
  <r>
    <x v="917"/>
    <x v="7"/>
    <x v="1"/>
    <x v="2"/>
    <x v="2"/>
    <x v="97"/>
    <x v="1"/>
    <x v="292"/>
    <x v="52"/>
    <x v="10"/>
    <x v="1"/>
    <x v="3"/>
    <x v="0"/>
    <x v="2"/>
    <x v="0"/>
  </r>
  <r>
    <x v="918"/>
    <x v="4"/>
    <x v="1"/>
    <x v="4"/>
    <x v="0"/>
    <x v="117"/>
    <x v="0"/>
    <x v="292"/>
    <x v="96"/>
    <x v="17"/>
    <x v="1"/>
    <x v="3"/>
    <x v="0"/>
    <x v="2"/>
    <x v="0"/>
  </r>
  <r>
    <x v="919"/>
    <x v="0"/>
    <x v="0"/>
    <x v="0"/>
    <x v="0"/>
    <x v="90"/>
    <x v="4"/>
    <x v="292"/>
    <x v="94"/>
    <x v="19"/>
    <x v="1"/>
    <x v="3"/>
    <x v="0"/>
    <x v="0"/>
    <x v="0"/>
  </r>
  <r>
    <x v="920"/>
    <x v="2"/>
    <x v="0"/>
    <x v="2"/>
    <x v="1"/>
    <x v="93"/>
    <x v="4"/>
    <x v="293"/>
    <x v="64"/>
    <x v="17"/>
    <x v="1"/>
    <x v="4"/>
    <x v="2"/>
    <x v="2"/>
    <x v="0"/>
  </r>
  <r>
    <x v="921"/>
    <x v="12"/>
    <x v="1"/>
    <x v="10"/>
    <x v="0"/>
    <x v="47"/>
    <x v="1"/>
    <x v="293"/>
    <x v="85"/>
    <x v="13"/>
    <x v="1"/>
    <x v="4"/>
    <x v="0"/>
    <x v="0"/>
    <x v="0"/>
  </r>
  <r>
    <x v="922"/>
    <x v="5"/>
    <x v="1"/>
    <x v="5"/>
    <x v="2"/>
    <x v="17"/>
    <x v="1"/>
    <x v="294"/>
    <x v="56"/>
    <x v="3"/>
    <x v="1"/>
    <x v="5"/>
    <x v="2"/>
    <x v="1"/>
    <x v="0"/>
  </r>
  <r>
    <x v="923"/>
    <x v="12"/>
    <x v="1"/>
    <x v="10"/>
    <x v="0"/>
    <x v="17"/>
    <x v="0"/>
    <x v="294"/>
    <x v="98"/>
    <x v="34"/>
    <x v="1"/>
    <x v="5"/>
    <x v="2"/>
    <x v="1"/>
    <x v="0"/>
  </r>
  <r>
    <x v="924"/>
    <x v="6"/>
    <x v="1"/>
    <x v="4"/>
    <x v="2"/>
    <x v="51"/>
    <x v="4"/>
    <x v="294"/>
    <x v="39"/>
    <x v="10"/>
    <x v="1"/>
    <x v="5"/>
    <x v="0"/>
    <x v="2"/>
    <x v="0"/>
  </r>
  <r>
    <x v="925"/>
    <x v="12"/>
    <x v="1"/>
    <x v="10"/>
    <x v="0"/>
    <x v="107"/>
    <x v="0"/>
    <x v="295"/>
    <x v="101"/>
    <x v="12"/>
    <x v="1"/>
    <x v="6"/>
    <x v="0"/>
    <x v="2"/>
    <x v="0"/>
  </r>
  <r>
    <x v="926"/>
    <x v="3"/>
    <x v="1"/>
    <x v="3"/>
    <x v="1"/>
    <x v="74"/>
    <x v="1"/>
    <x v="295"/>
    <x v="46"/>
    <x v="25"/>
    <x v="1"/>
    <x v="6"/>
    <x v="0"/>
    <x v="1"/>
    <x v="0"/>
  </r>
  <r>
    <x v="927"/>
    <x v="8"/>
    <x v="0"/>
    <x v="6"/>
    <x v="2"/>
    <x v="7"/>
    <x v="2"/>
    <x v="295"/>
    <x v="66"/>
    <x v="7"/>
    <x v="1"/>
    <x v="6"/>
    <x v="2"/>
    <x v="1"/>
    <x v="0"/>
  </r>
  <r>
    <x v="928"/>
    <x v="12"/>
    <x v="1"/>
    <x v="10"/>
    <x v="0"/>
    <x v="99"/>
    <x v="4"/>
    <x v="295"/>
    <x v="50"/>
    <x v="7"/>
    <x v="1"/>
    <x v="6"/>
    <x v="0"/>
    <x v="1"/>
    <x v="0"/>
  </r>
  <r>
    <x v="929"/>
    <x v="2"/>
    <x v="0"/>
    <x v="2"/>
    <x v="1"/>
    <x v="54"/>
    <x v="2"/>
    <x v="296"/>
    <x v="67"/>
    <x v="32"/>
    <x v="1"/>
    <x v="0"/>
    <x v="2"/>
    <x v="3"/>
    <x v="0"/>
  </r>
  <r>
    <x v="930"/>
    <x v="13"/>
    <x v="0"/>
    <x v="11"/>
    <x v="1"/>
    <x v="53"/>
    <x v="4"/>
    <x v="297"/>
    <x v="94"/>
    <x v="20"/>
    <x v="1"/>
    <x v="1"/>
    <x v="0"/>
    <x v="2"/>
    <x v="0"/>
  </r>
  <r>
    <x v="931"/>
    <x v="4"/>
    <x v="1"/>
    <x v="4"/>
    <x v="0"/>
    <x v="137"/>
    <x v="1"/>
    <x v="298"/>
    <x v="61"/>
    <x v="17"/>
    <x v="1"/>
    <x v="2"/>
    <x v="3"/>
    <x v="2"/>
    <x v="0"/>
  </r>
  <r>
    <x v="932"/>
    <x v="3"/>
    <x v="1"/>
    <x v="3"/>
    <x v="1"/>
    <x v="119"/>
    <x v="4"/>
    <x v="298"/>
    <x v="73"/>
    <x v="35"/>
    <x v="1"/>
    <x v="2"/>
    <x v="1"/>
    <x v="1"/>
    <x v="0"/>
  </r>
  <r>
    <x v="933"/>
    <x v="5"/>
    <x v="1"/>
    <x v="5"/>
    <x v="2"/>
    <x v="15"/>
    <x v="4"/>
    <x v="299"/>
    <x v="93"/>
    <x v="10"/>
    <x v="1"/>
    <x v="4"/>
    <x v="0"/>
    <x v="2"/>
    <x v="0"/>
  </r>
  <r>
    <x v="934"/>
    <x v="3"/>
    <x v="1"/>
    <x v="3"/>
    <x v="1"/>
    <x v="67"/>
    <x v="2"/>
    <x v="299"/>
    <x v="21"/>
    <x v="9"/>
    <x v="1"/>
    <x v="4"/>
    <x v="0"/>
    <x v="2"/>
    <x v="0"/>
  </r>
  <r>
    <x v="935"/>
    <x v="3"/>
    <x v="1"/>
    <x v="3"/>
    <x v="1"/>
    <x v="9"/>
    <x v="1"/>
    <x v="300"/>
    <x v="72"/>
    <x v="14"/>
    <x v="1"/>
    <x v="5"/>
    <x v="0"/>
    <x v="0"/>
    <x v="0"/>
  </r>
  <r>
    <x v="936"/>
    <x v="5"/>
    <x v="1"/>
    <x v="5"/>
    <x v="2"/>
    <x v="119"/>
    <x v="3"/>
    <x v="300"/>
    <x v="6"/>
    <x v="9"/>
    <x v="1"/>
    <x v="5"/>
    <x v="1"/>
    <x v="2"/>
    <x v="0"/>
  </r>
  <r>
    <x v="937"/>
    <x v="8"/>
    <x v="0"/>
    <x v="6"/>
    <x v="2"/>
    <x v="108"/>
    <x v="4"/>
    <x v="300"/>
    <x v="49"/>
    <x v="12"/>
    <x v="1"/>
    <x v="5"/>
    <x v="2"/>
    <x v="2"/>
    <x v="0"/>
  </r>
  <r>
    <x v="938"/>
    <x v="1"/>
    <x v="0"/>
    <x v="1"/>
    <x v="0"/>
    <x v="132"/>
    <x v="0"/>
    <x v="300"/>
    <x v="80"/>
    <x v="4"/>
    <x v="1"/>
    <x v="5"/>
    <x v="3"/>
    <x v="0"/>
    <x v="0"/>
  </r>
  <r>
    <x v="939"/>
    <x v="4"/>
    <x v="1"/>
    <x v="4"/>
    <x v="0"/>
    <x v="38"/>
    <x v="3"/>
    <x v="301"/>
    <x v="102"/>
    <x v="2"/>
    <x v="1"/>
    <x v="0"/>
    <x v="0"/>
    <x v="0"/>
    <x v="0"/>
  </r>
  <r>
    <x v="940"/>
    <x v="11"/>
    <x v="1"/>
    <x v="9"/>
    <x v="2"/>
    <x v="74"/>
    <x v="2"/>
    <x v="301"/>
    <x v="40"/>
    <x v="13"/>
    <x v="1"/>
    <x v="0"/>
    <x v="0"/>
    <x v="0"/>
    <x v="0"/>
  </r>
  <r>
    <x v="941"/>
    <x v="9"/>
    <x v="1"/>
    <x v="7"/>
    <x v="1"/>
    <x v="45"/>
    <x v="1"/>
    <x v="302"/>
    <x v="41"/>
    <x v="38"/>
    <x v="1"/>
    <x v="1"/>
    <x v="0"/>
    <x v="3"/>
    <x v="0"/>
  </r>
  <r>
    <x v="942"/>
    <x v="2"/>
    <x v="0"/>
    <x v="2"/>
    <x v="1"/>
    <x v="24"/>
    <x v="0"/>
    <x v="303"/>
    <x v="6"/>
    <x v="17"/>
    <x v="1"/>
    <x v="2"/>
    <x v="0"/>
    <x v="2"/>
    <x v="0"/>
  </r>
  <r>
    <x v="943"/>
    <x v="9"/>
    <x v="1"/>
    <x v="7"/>
    <x v="1"/>
    <x v="72"/>
    <x v="1"/>
    <x v="303"/>
    <x v="29"/>
    <x v="10"/>
    <x v="1"/>
    <x v="2"/>
    <x v="1"/>
    <x v="2"/>
    <x v="0"/>
  </r>
  <r>
    <x v="944"/>
    <x v="6"/>
    <x v="1"/>
    <x v="4"/>
    <x v="2"/>
    <x v="144"/>
    <x v="2"/>
    <x v="303"/>
    <x v="78"/>
    <x v="17"/>
    <x v="1"/>
    <x v="2"/>
    <x v="2"/>
    <x v="2"/>
    <x v="0"/>
  </r>
  <r>
    <x v="945"/>
    <x v="7"/>
    <x v="1"/>
    <x v="2"/>
    <x v="2"/>
    <x v="162"/>
    <x v="4"/>
    <x v="304"/>
    <x v="53"/>
    <x v="3"/>
    <x v="1"/>
    <x v="3"/>
    <x v="4"/>
    <x v="1"/>
    <x v="0"/>
  </r>
  <r>
    <x v="946"/>
    <x v="2"/>
    <x v="0"/>
    <x v="2"/>
    <x v="1"/>
    <x v="115"/>
    <x v="2"/>
    <x v="305"/>
    <x v="44"/>
    <x v="19"/>
    <x v="1"/>
    <x v="4"/>
    <x v="1"/>
    <x v="0"/>
    <x v="0"/>
  </r>
  <r>
    <x v="947"/>
    <x v="1"/>
    <x v="0"/>
    <x v="1"/>
    <x v="0"/>
    <x v="116"/>
    <x v="3"/>
    <x v="306"/>
    <x v="105"/>
    <x v="4"/>
    <x v="1"/>
    <x v="5"/>
    <x v="1"/>
    <x v="0"/>
    <x v="0"/>
  </r>
  <r>
    <x v="948"/>
    <x v="3"/>
    <x v="1"/>
    <x v="3"/>
    <x v="1"/>
    <x v="42"/>
    <x v="4"/>
    <x v="306"/>
    <x v="99"/>
    <x v="24"/>
    <x v="1"/>
    <x v="5"/>
    <x v="0"/>
    <x v="3"/>
    <x v="0"/>
  </r>
  <r>
    <x v="949"/>
    <x v="1"/>
    <x v="0"/>
    <x v="1"/>
    <x v="0"/>
    <x v="122"/>
    <x v="3"/>
    <x v="306"/>
    <x v="82"/>
    <x v="27"/>
    <x v="1"/>
    <x v="5"/>
    <x v="1"/>
    <x v="1"/>
    <x v="0"/>
  </r>
  <r>
    <x v="950"/>
    <x v="6"/>
    <x v="1"/>
    <x v="4"/>
    <x v="2"/>
    <x v="156"/>
    <x v="0"/>
    <x v="306"/>
    <x v="74"/>
    <x v="4"/>
    <x v="1"/>
    <x v="5"/>
    <x v="0"/>
    <x v="0"/>
    <x v="0"/>
  </r>
  <r>
    <x v="951"/>
    <x v="3"/>
    <x v="1"/>
    <x v="3"/>
    <x v="1"/>
    <x v="9"/>
    <x v="1"/>
    <x v="307"/>
    <x v="18"/>
    <x v="20"/>
    <x v="1"/>
    <x v="6"/>
    <x v="0"/>
    <x v="2"/>
    <x v="0"/>
  </r>
  <r>
    <x v="952"/>
    <x v="10"/>
    <x v="0"/>
    <x v="8"/>
    <x v="1"/>
    <x v="63"/>
    <x v="0"/>
    <x v="307"/>
    <x v="49"/>
    <x v="18"/>
    <x v="1"/>
    <x v="6"/>
    <x v="0"/>
    <x v="2"/>
    <x v="0"/>
  </r>
  <r>
    <x v="953"/>
    <x v="1"/>
    <x v="0"/>
    <x v="1"/>
    <x v="0"/>
    <x v="40"/>
    <x v="1"/>
    <x v="308"/>
    <x v="28"/>
    <x v="16"/>
    <x v="1"/>
    <x v="0"/>
    <x v="1"/>
    <x v="1"/>
    <x v="0"/>
  </r>
  <r>
    <x v="954"/>
    <x v="7"/>
    <x v="1"/>
    <x v="2"/>
    <x v="2"/>
    <x v="122"/>
    <x v="0"/>
    <x v="308"/>
    <x v="11"/>
    <x v="12"/>
    <x v="1"/>
    <x v="0"/>
    <x v="1"/>
    <x v="2"/>
    <x v="0"/>
  </r>
  <r>
    <x v="955"/>
    <x v="3"/>
    <x v="1"/>
    <x v="3"/>
    <x v="1"/>
    <x v="145"/>
    <x v="4"/>
    <x v="308"/>
    <x v="39"/>
    <x v="20"/>
    <x v="1"/>
    <x v="0"/>
    <x v="2"/>
    <x v="2"/>
    <x v="0"/>
  </r>
  <r>
    <x v="956"/>
    <x v="10"/>
    <x v="0"/>
    <x v="8"/>
    <x v="1"/>
    <x v="50"/>
    <x v="0"/>
    <x v="309"/>
    <x v="18"/>
    <x v="20"/>
    <x v="1"/>
    <x v="1"/>
    <x v="0"/>
    <x v="2"/>
    <x v="0"/>
  </r>
  <r>
    <x v="957"/>
    <x v="6"/>
    <x v="1"/>
    <x v="4"/>
    <x v="2"/>
    <x v="18"/>
    <x v="3"/>
    <x v="310"/>
    <x v="79"/>
    <x v="22"/>
    <x v="1"/>
    <x v="2"/>
    <x v="2"/>
    <x v="1"/>
    <x v="0"/>
  </r>
  <r>
    <x v="958"/>
    <x v="7"/>
    <x v="1"/>
    <x v="2"/>
    <x v="2"/>
    <x v="67"/>
    <x v="3"/>
    <x v="311"/>
    <x v="70"/>
    <x v="21"/>
    <x v="1"/>
    <x v="4"/>
    <x v="0"/>
    <x v="3"/>
    <x v="0"/>
  </r>
  <r>
    <x v="959"/>
    <x v="6"/>
    <x v="1"/>
    <x v="4"/>
    <x v="2"/>
    <x v="128"/>
    <x v="1"/>
    <x v="312"/>
    <x v="76"/>
    <x v="8"/>
    <x v="1"/>
    <x v="5"/>
    <x v="3"/>
    <x v="2"/>
    <x v="0"/>
  </r>
  <r>
    <x v="960"/>
    <x v="12"/>
    <x v="1"/>
    <x v="10"/>
    <x v="0"/>
    <x v="54"/>
    <x v="4"/>
    <x v="312"/>
    <x v="48"/>
    <x v="12"/>
    <x v="1"/>
    <x v="5"/>
    <x v="2"/>
    <x v="2"/>
    <x v="0"/>
  </r>
  <r>
    <x v="961"/>
    <x v="6"/>
    <x v="1"/>
    <x v="4"/>
    <x v="2"/>
    <x v="6"/>
    <x v="1"/>
    <x v="313"/>
    <x v="18"/>
    <x v="7"/>
    <x v="1"/>
    <x v="6"/>
    <x v="0"/>
    <x v="1"/>
    <x v="0"/>
  </r>
  <r>
    <x v="962"/>
    <x v="9"/>
    <x v="1"/>
    <x v="7"/>
    <x v="1"/>
    <x v="47"/>
    <x v="2"/>
    <x v="313"/>
    <x v="95"/>
    <x v="20"/>
    <x v="1"/>
    <x v="6"/>
    <x v="0"/>
    <x v="2"/>
    <x v="0"/>
  </r>
  <r>
    <x v="963"/>
    <x v="12"/>
    <x v="1"/>
    <x v="10"/>
    <x v="0"/>
    <x v="74"/>
    <x v="4"/>
    <x v="314"/>
    <x v="84"/>
    <x v="4"/>
    <x v="1"/>
    <x v="3"/>
    <x v="0"/>
    <x v="0"/>
    <x v="0"/>
  </r>
  <r>
    <x v="964"/>
    <x v="2"/>
    <x v="0"/>
    <x v="2"/>
    <x v="1"/>
    <x v="30"/>
    <x v="1"/>
    <x v="314"/>
    <x v="38"/>
    <x v="16"/>
    <x v="1"/>
    <x v="3"/>
    <x v="0"/>
    <x v="1"/>
    <x v="0"/>
  </r>
  <r>
    <x v="965"/>
    <x v="10"/>
    <x v="0"/>
    <x v="8"/>
    <x v="1"/>
    <x v="109"/>
    <x v="3"/>
    <x v="315"/>
    <x v="1"/>
    <x v="18"/>
    <x v="1"/>
    <x v="4"/>
    <x v="2"/>
    <x v="2"/>
    <x v="0"/>
  </r>
  <r>
    <x v="966"/>
    <x v="14"/>
    <x v="1"/>
    <x v="12"/>
    <x v="2"/>
    <x v="76"/>
    <x v="4"/>
    <x v="316"/>
    <x v="98"/>
    <x v="27"/>
    <x v="1"/>
    <x v="5"/>
    <x v="1"/>
    <x v="1"/>
    <x v="0"/>
  </r>
  <r>
    <x v="967"/>
    <x v="5"/>
    <x v="1"/>
    <x v="5"/>
    <x v="2"/>
    <x v="74"/>
    <x v="3"/>
    <x v="316"/>
    <x v="99"/>
    <x v="0"/>
    <x v="1"/>
    <x v="5"/>
    <x v="0"/>
    <x v="0"/>
    <x v="0"/>
  </r>
  <r>
    <x v="968"/>
    <x v="13"/>
    <x v="0"/>
    <x v="11"/>
    <x v="1"/>
    <x v="89"/>
    <x v="1"/>
    <x v="316"/>
    <x v="83"/>
    <x v="26"/>
    <x v="1"/>
    <x v="5"/>
    <x v="1"/>
    <x v="3"/>
    <x v="0"/>
  </r>
  <r>
    <x v="969"/>
    <x v="14"/>
    <x v="1"/>
    <x v="12"/>
    <x v="2"/>
    <x v="119"/>
    <x v="0"/>
    <x v="317"/>
    <x v="73"/>
    <x v="2"/>
    <x v="1"/>
    <x v="6"/>
    <x v="1"/>
    <x v="0"/>
    <x v="0"/>
  </r>
  <r>
    <x v="970"/>
    <x v="2"/>
    <x v="0"/>
    <x v="2"/>
    <x v="1"/>
    <x v="64"/>
    <x v="0"/>
    <x v="317"/>
    <x v="59"/>
    <x v="3"/>
    <x v="1"/>
    <x v="6"/>
    <x v="2"/>
    <x v="1"/>
    <x v="0"/>
  </r>
  <r>
    <x v="971"/>
    <x v="8"/>
    <x v="0"/>
    <x v="6"/>
    <x v="2"/>
    <x v="56"/>
    <x v="0"/>
    <x v="317"/>
    <x v="2"/>
    <x v="23"/>
    <x v="1"/>
    <x v="6"/>
    <x v="1"/>
    <x v="1"/>
    <x v="0"/>
  </r>
  <r>
    <x v="972"/>
    <x v="6"/>
    <x v="1"/>
    <x v="4"/>
    <x v="2"/>
    <x v="52"/>
    <x v="3"/>
    <x v="317"/>
    <x v="103"/>
    <x v="2"/>
    <x v="1"/>
    <x v="6"/>
    <x v="1"/>
    <x v="0"/>
    <x v="0"/>
  </r>
  <r>
    <x v="973"/>
    <x v="11"/>
    <x v="1"/>
    <x v="9"/>
    <x v="2"/>
    <x v="116"/>
    <x v="3"/>
    <x v="317"/>
    <x v="101"/>
    <x v="4"/>
    <x v="1"/>
    <x v="6"/>
    <x v="1"/>
    <x v="0"/>
    <x v="0"/>
  </r>
  <r>
    <x v="974"/>
    <x v="2"/>
    <x v="0"/>
    <x v="2"/>
    <x v="1"/>
    <x v="116"/>
    <x v="2"/>
    <x v="318"/>
    <x v="24"/>
    <x v="2"/>
    <x v="1"/>
    <x v="0"/>
    <x v="1"/>
    <x v="0"/>
    <x v="0"/>
  </r>
  <r>
    <x v="975"/>
    <x v="7"/>
    <x v="1"/>
    <x v="2"/>
    <x v="2"/>
    <x v="81"/>
    <x v="3"/>
    <x v="318"/>
    <x v="6"/>
    <x v="9"/>
    <x v="1"/>
    <x v="0"/>
    <x v="2"/>
    <x v="2"/>
    <x v="0"/>
  </r>
  <r>
    <x v="976"/>
    <x v="2"/>
    <x v="0"/>
    <x v="2"/>
    <x v="1"/>
    <x v="5"/>
    <x v="4"/>
    <x v="319"/>
    <x v="67"/>
    <x v="0"/>
    <x v="1"/>
    <x v="2"/>
    <x v="0"/>
    <x v="0"/>
    <x v="0"/>
  </r>
  <r>
    <x v="977"/>
    <x v="9"/>
    <x v="1"/>
    <x v="7"/>
    <x v="1"/>
    <x v="134"/>
    <x v="2"/>
    <x v="320"/>
    <x v="104"/>
    <x v="20"/>
    <x v="1"/>
    <x v="3"/>
    <x v="0"/>
    <x v="2"/>
    <x v="0"/>
  </r>
  <r>
    <x v="978"/>
    <x v="4"/>
    <x v="1"/>
    <x v="4"/>
    <x v="0"/>
    <x v="107"/>
    <x v="3"/>
    <x v="320"/>
    <x v="100"/>
    <x v="14"/>
    <x v="1"/>
    <x v="3"/>
    <x v="0"/>
    <x v="0"/>
    <x v="0"/>
  </r>
  <r>
    <x v="979"/>
    <x v="5"/>
    <x v="1"/>
    <x v="5"/>
    <x v="2"/>
    <x v="77"/>
    <x v="1"/>
    <x v="321"/>
    <x v="95"/>
    <x v="15"/>
    <x v="1"/>
    <x v="4"/>
    <x v="0"/>
    <x v="3"/>
    <x v="0"/>
  </r>
  <r>
    <x v="980"/>
    <x v="14"/>
    <x v="1"/>
    <x v="12"/>
    <x v="2"/>
    <x v="34"/>
    <x v="3"/>
    <x v="322"/>
    <x v="66"/>
    <x v="3"/>
    <x v="1"/>
    <x v="0"/>
    <x v="0"/>
    <x v="1"/>
    <x v="0"/>
  </r>
  <r>
    <x v="981"/>
    <x v="3"/>
    <x v="1"/>
    <x v="3"/>
    <x v="1"/>
    <x v="129"/>
    <x v="4"/>
    <x v="322"/>
    <x v="28"/>
    <x v="17"/>
    <x v="1"/>
    <x v="0"/>
    <x v="0"/>
    <x v="2"/>
    <x v="0"/>
  </r>
  <r>
    <x v="982"/>
    <x v="10"/>
    <x v="0"/>
    <x v="8"/>
    <x v="1"/>
    <x v="163"/>
    <x v="0"/>
    <x v="323"/>
    <x v="39"/>
    <x v="16"/>
    <x v="1"/>
    <x v="1"/>
    <x v="4"/>
    <x v="1"/>
    <x v="0"/>
  </r>
  <r>
    <x v="983"/>
    <x v="7"/>
    <x v="1"/>
    <x v="2"/>
    <x v="2"/>
    <x v="115"/>
    <x v="0"/>
    <x v="323"/>
    <x v="7"/>
    <x v="42"/>
    <x v="1"/>
    <x v="1"/>
    <x v="1"/>
    <x v="3"/>
    <x v="0"/>
  </r>
  <r>
    <x v="984"/>
    <x v="1"/>
    <x v="0"/>
    <x v="1"/>
    <x v="0"/>
    <x v="20"/>
    <x v="2"/>
    <x v="323"/>
    <x v="78"/>
    <x v="6"/>
    <x v="1"/>
    <x v="1"/>
    <x v="2"/>
    <x v="2"/>
    <x v="0"/>
  </r>
  <r>
    <x v="985"/>
    <x v="0"/>
    <x v="0"/>
    <x v="0"/>
    <x v="0"/>
    <x v="31"/>
    <x v="1"/>
    <x v="324"/>
    <x v="92"/>
    <x v="6"/>
    <x v="1"/>
    <x v="2"/>
    <x v="0"/>
    <x v="2"/>
    <x v="0"/>
  </r>
  <r>
    <x v="986"/>
    <x v="0"/>
    <x v="0"/>
    <x v="0"/>
    <x v="0"/>
    <x v="32"/>
    <x v="3"/>
    <x v="325"/>
    <x v="9"/>
    <x v="19"/>
    <x v="1"/>
    <x v="3"/>
    <x v="0"/>
    <x v="0"/>
    <x v="0"/>
  </r>
  <r>
    <x v="987"/>
    <x v="9"/>
    <x v="1"/>
    <x v="7"/>
    <x v="1"/>
    <x v="113"/>
    <x v="0"/>
    <x v="325"/>
    <x v="84"/>
    <x v="4"/>
    <x v="1"/>
    <x v="3"/>
    <x v="0"/>
    <x v="0"/>
    <x v="0"/>
  </r>
  <r>
    <x v="988"/>
    <x v="10"/>
    <x v="0"/>
    <x v="8"/>
    <x v="1"/>
    <x v="55"/>
    <x v="0"/>
    <x v="326"/>
    <x v="39"/>
    <x v="14"/>
    <x v="1"/>
    <x v="4"/>
    <x v="1"/>
    <x v="0"/>
    <x v="0"/>
  </r>
  <r>
    <x v="989"/>
    <x v="8"/>
    <x v="0"/>
    <x v="6"/>
    <x v="2"/>
    <x v="96"/>
    <x v="4"/>
    <x v="326"/>
    <x v="49"/>
    <x v="14"/>
    <x v="1"/>
    <x v="4"/>
    <x v="0"/>
    <x v="0"/>
    <x v="0"/>
  </r>
  <r>
    <x v="990"/>
    <x v="2"/>
    <x v="0"/>
    <x v="2"/>
    <x v="1"/>
    <x v="155"/>
    <x v="4"/>
    <x v="327"/>
    <x v="62"/>
    <x v="19"/>
    <x v="1"/>
    <x v="5"/>
    <x v="1"/>
    <x v="0"/>
    <x v="0"/>
  </r>
  <r>
    <x v="991"/>
    <x v="4"/>
    <x v="1"/>
    <x v="4"/>
    <x v="0"/>
    <x v="101"/>
    <x v="1"/>
    <x v="327"/>
    <x v="22"/>
    <x v="19"/>
    <x v="1"/>
    <x v="5"/>
    <x v="2"/>
    <x v="0"/>
    <x v="0"/>
  </r>
  <r>
    <x v="992"/>
    <x v="3"/>
    <x v="1"/>
    <x v="3"/>
    <x v="1"/>
    <x v="77"/>
    <x v="2"/>
    <x v="327"/>
    <x v="24"/>
    <x v="8"/>
    <x v="1"/>
    <x v="5"/>
    <x v="0"/>
    <x v="2"/>
    <x v="0"/>
  </r>
  <r>
    <x v="993"/>
    <x v="10"/>
    <x v="0"/>
    <x v="8"/>
    <x v="1"/>
    <x v="48"/>
    <x v="3"/>
    <x v="327"/>
    <x v="25"/>
    <x v="1"/>
    <x v="1"/>
    <x v="5"/>
    <x v="0"/>
    <x v="1"/>
    <x v="0"/>
  </r>
  <r>
    <x v="994"/>
    <x v="3"/>
    <x v="1"/>
    <x v="3"/>
    <x v="1"/>
    <x v="97"/>
    <x v="0"/>
    <x v="328"/>
    <x v="20"/>
    <x v="2"/>
    <x v="1"/>
    <x v="6"/>
    <x v="0"/>
    <x v="0"/>
    <x v="0"/>
  </r>
  <r>
    <x v="995"/>
    <x v="8"/>
    <x v="0"/>
    <x v="6"/>
    <x v="2"/>
    <x v="22"/>
    <x v="0"/>
    <x v="328"/>
    <x v="15"/>
    <x v="10"/>
    <x v="1"/>
    <x v="6"/>
    <x v="0"/>
    <x v="2"/>
    <x v="0"/>
  </r>
  <r>
    <x v="996"/>
    <x v="5"/>
    <x v="1"/>
    <x v="5"/>
    <x v="2"/>
    <x v="76"/>
    <x v="3"/>
    <x v="328"/>
    <x v="46"/>
    <x v="11"/>
    <x v="1"/>
    <x v="6"/>
    <x v="1"/>
    <x v="2"/>
    <x v="0"/>
  </r>
  <r>
    <x v="997"/>
    <x v="7"/>
    <x v="1"/>
    <x v="2"/>
    <x v="2"/>
    <x v="148"/>
    <x v="0"/>
    <x v="329"/>
    <x v="99"/>
    <x v="24"/>
    <x v="1"/>
    <x v="0"/>
    <x v="1"/>
    <x v="3"/>
    <x v="0"/>
  </r>
  <r>
    <x v="998"/>
    <x v="6"/>
    <x v="1"/>
    <x v="4"/>
    <x v="2"/>
    <x v="114"/>
    <x v="0"/>
    <x v="329"/>
    <x v="39"/>
    <x v="20"/>
    <x v="1"/>
    <x v="0"/>
    <x v="1"/>
    <x v="2"/>
    <x v="0"/>
  </r>
  <r>
    <x v="999"/>
    <x v="9"/>
    <x v="1"/>
    <x v="7"/>
    <x v="1"/>
    <x v="59"/>
    <x v="2"/>
    <x v="329"/>
    <x v="45"/>
    <x v="10"/>
    <x v="1"/>
    <x v="0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 pivo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E5" firstHeaderRow="0" firstDataRow="1" firstDataCol="0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4">
        <item x="5"/>
        <item x="8"/>
        <item x="7"/>
        <item x="0"/>
        <item x="10"/>
        <item x="4"/>
        <item x="6"/>
        <item x="1"/>
        <item x="2"/>
        <item x="3"/>
        <item x="11"/>
        <item x="12"/>
        <item x="9"/>
        <item t="default"/>
      </items>
    </pivotField>
    <pivotField compact="0" showAll="0">
      <items count="4">
        <item x="0"/>
        <item x="2"/>
        <item x="1"/>
        <item t="default"/>
      </items>
    </pivotField>
    <pivotField dataField="1" compact="0"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numFmtId="186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dataField="1" compact="0" showAll="0">
      <items count="108">
        <item x="88"/>
        <item x="65"/>
        <item x="3"/>
        <item x="50"/>
        <item x="13"/>
        <item x="78"/>
        <item x="30"/>
        <item x="79"/>
        <item x="15"/>
        <item x="87"/>
        <item x="17"/>
        <item x="4"/>
        <item x="37"/>
        <item x="105"/>
        <item x="52"/>
        <item x="56"/>
        <item x="73"/>
        <item x="64"/>
        <item x="100"/>
        <item x="77"/>
        <item x="45"/>
        <item x="102"/>
        <item x="28"/>
        <item x="57"/>
        <item x="85"/>
        <item x="82"/>
        <item x="9"/>
        <item x="43"/>
        <item x="25"/>
        <item x="68"/>
        <item x="48"/>
        <item x="36"/>
        <item x="81"/>
        <item x="5"/>
        <item x="53"/>
        <item x="23"/>
        <item x="39"/>
        <item x="2"/>
        <item x="12"/>
        <item x="8"/>
        <item x="63"/>
        <item x="18"/>
        <item x="61"/>
        <item x="75"/>
        <item x="103"/>
        <item x="38"/>
        <item x="24"/>
        <item x="91"/>
        <item x="95"/>
        <item x="59"/>
        <item x="33"/>
        <item x="90"/>
        <item x="66"/>
        <item x="44"/>
        <item x="19"/>
        <item x="76"/>
        <item x="11"/>
        <item x="51"/>
        <item x="62"/>
        <item x="71"/>
        <item x="72"/>
        <item x="7"/>
        <item x="10"/>
        <item x="27"/>
        <item x="22"/>
        <item x="54"/>
        <item x="74"/>
        <item x="99"/>
        <item x="93"/>
        <item x="83"/>
        <item x="31"/>
        <item x="26"/>
        <item x="55"/>
        <item x="29"/>
        <item x="41"/>
        <item x="0"/>
        <item x="86"/>
        <item x="58"/>
        <item x="32"/>
        <item x="1"/>
        <item x="40"/>
        <item x="21"/>
        <item x="89"/>
        <item x="98"/>
        <item x="6"/>
        <item x="69"/>
        <item x="106"/>
        <item x="34"/>
        <item x="47"/>
        <item x="42"/>
        <item x="84"/>
        <item x="20"/>
        <item x="35"/>
        <item x="16"/>
        <item x="60"/>
        <item x="97"/>
        <item x="92"/>
        <item x="67"/>
        <item x="101"/>
        <item x="104"/>
        <item x="14"/>
        <item x="70"/>
        <item x="49"/>
        <item x="80"/>
        <item x="46"/>
        <item x="96"/>
        <item x="94"/>
        <item t="default"/>
      </items>
    </pivotField>
    <pivotField dataField="1" compact="0" multipleItemSelectionAllowed="1" showAll="0">
      <items count="44">
        <item h="1" x="28"/>
        <item h="1" x="36"/>
        <item h="1" x="41"/>
        <item h="1" x="33"/>
        <item h="1" x="31"/>
        <item h="1" x="39"/>
        <item h="1" x="40"/>
        <item h="1" x="38"/>
        <item h="1" x="37"/>
        <item h="1" x="42"/>
        <item h="1" x="32"/>
        <item h="1" x="29"/>
        <item h="1" x="26"/>
        <item h="1" x="15"/>
        <item h="1" x="30"/>
        <item h="1" x="24"/>
        <item h="1" x="21"/>
        <item h="1" x="25"/>
        <item h="1" x="27"/>
        <item h="1" x="34"/>
        <item h="1" x="3"/>
        <item h="1" x="1"/>
        <item h="1" x="35"/>
        <item h="1" x="22"/>
        <item h="1" x="23"/>
        <item h="1" x="16"/>
        <item h="1" x="7"/>
        <item h="1" x="8"/>
        <item h="1" x="6"/>
        <item h="1" x="20"/>
        <item h="1" x="11"/>
        <item h="1" x="10"/>
        <item h="1" x="9"/>
        <item h="1" x="17"/>
        <item h="1" x="18"/>
        <item h="1" x="12"/>
        <item h="1" x="5"/>
        <item h="1" x="14"/>
        <item h="1" x="19"/>
        <item h="1" x="2"/>
        <item h="1" x="4"/>
        <item h="1" x="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2">
        <item x="0"/>
        <item t="default"/>
      </items>
    </pivotField>
    <pivotField compact="0" defaultSubtotal="0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Call number" fld="0" subtotal="count" baseField="0" baseItem="0"/>
    <dataField name="Sum of Duration" fld="5" baseField="0" baseItem="0"/>
    <dataField name="Sum of Purchase Amount" fld="8" baseField="0" baseItem="0" numFmtId="188"/>
    <dataField name="Average of 5* Calls" fld="14" subtotal="average" baseField="0" baseItem="0"/>
    <dataField name="Average of Satisfaction Rating" fld="9" subtotal="average" baseField="0" baseItem="0" numFmtId="182"/>
  </dataFields>
  <formats count="4">
    <format dxfId="0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rating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116:C121" firstHeaderRow="1" firstDataRow="1" firstDataCol="1"/>
  <pivotFields count="1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compact="0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4">
        <item x="5"/>
        <item x="8"/>
        <item x="7"/>
        <item x="0"/>
        <item x="10"/>
        <item x="4"/>
        <item x="6"/>
        <item x="1"/>
        <item x="2"/>
        <item x="3"/>
        <item x="11"/>
        <item x="12"/>
        <item x="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compact="0" showAll="0">
      <items count="6">
        <item h="1" x="2"/>
        <item h="1" x="1"/>
        <item h="1" x="4"/>
        <item h="1" x="3"/>
        <item x="0"/>
        <item t="default"/>
      </items>
    </pivotField>
    <pivotField compact="0" numFmtId="186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compact="0" showAll="0">
      <items count="108">
        <item x="88"/>
        <item x="65"/>
        <item x="3"/>
        <item x="50"/>
        <item x="13"/>
        <item x="78"/>
        <item x="30"/>
        <item x="79"/>
        <item x="15"/>
        <item x="87"/>
        <item x="17"/>
        <item x="4"/>
        <item x="37"/>
        <item x="105"/>
        <item x="52"/>
        <item x="56"/>
        <item x="73"/>
        <item x="64"/>
        <item x="100"/>
        <item x="77"/>
        <item x="45"/>
        <item x="102"/>
        <item x="28"/>
        <item x="57"/>
        <item x="85"/>
        <item x="82"/>
        <item x="9"/>
        <item x="43"/>
        <item x="25"/>
        <item x="68"/>
        <item x="48"/>
        <item x="36"/>
        <item x="81"/>
        <item x="5"/>
        <item x="53"/>
        <item x="23"/>
        <item x="39"/>
        <item x="2"/>
        <item x="12"/>
        <item x="8"/>
        <item x="63"/>
        <item x="18"/>
        <item x="61"/>
        <item x="75"/>
        <item x="103"/>
        <item x="38"/>
        <item x="24"/>
        <item x="91"/>
        <item x="95"/>
        <item x="59"/>
        <item x="33"/>
        <item x="90"/>
        <item x="66"/>
        <item x="44"/>
        <item x="19"/>
        <item x="76"/>
        <item x="11"/>
        <item x="51"/>
        <item x="62"/>
        <item x="71"/>
        <item x="72"/>
        <item x="7"/>
        <item x="10"/>
        <item x="27"/>
        <item x="22"/>
        <item x="54"/>
        <item x="74"/>
        <item x="99"/>
        <item x="93"/>
        <item x="83"/>
        <item x="31"/>
        <item x="26"/>
        <item x="55"/>
        <item x="29"/>
        <item x="41"/>
        <item x="0"/>
        <item x="86"/>
        <item x="58"/>
        <item x="32"/>
        <item x="1"/>
        <item x="40"/>
        <item x="21"/>
        <item x="89"/>
        <item x="98"/>
        <item x="6"/>
        <item x="69"/>
        <item x="106"/>
        <item x="34"/>
        <item x="47"/>
        <item x="42"/>
        <item x="84"/>
        <item x="20"/>
        <item x="35"/>
        <item x="16"/>
        <item x="60"/>
        <item x="97"/>
        <item x="92"/>
        <item x="67"/>
        <item x="101"/>
        <item x="104"/>
        <item x="14"/>
        <item x="70"/>
        <item x="49"/>
        <item x="80"/>
        <item x="46"/>
        <item x="96"/>
        <item x="94"/>
        <item t="default"/>
      </items>
    </pivotField>
    <pivotField compact="0" showAll="0">
      <items count="44">
        <item x="28"/>
        <item x="36"/>
        <item x="41"/>
        <item x="33"/>
        <item x="31"/>
        <item x="39"/>
        <item x="40"/>
        <item x="38"/>
        <item x="37"/>
        <item x="42"/>
        <item x="32"/>
        <item x="29"/>
        <item x="26"/>
        <item x="15"/>
        <item x="30"/>
        <item x="24"/>
        <item x="21"/>
        <item x="25"/>
        <item x="27"/>
        <item x="34"/>
        <item x="3"/>
        <item x="1"/>
        <item x="35"/>
        <item x="22"/>
        <item x="23"/>
        <item x="16"/>
        <item x="7"/>
        <item x="8"/>
        <item x="6"/>
        <item x="20"/>
        <item x="11"/>
        <item x="10"/>
        <item x="9"/>
        <item x="17"/>
        <item x="18"/>
        <item x="12"/>
        <item x="5"/>
        <item x="14"/>
        <item x="19"/>
        <item x="2"/>
        <item x="4"/>
        <item x="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axis="axisRow" compact="0" showAll="0">
      <items count="7">
        <item x="4"/>
        <item x="5"/>
        <item x="3"/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defaultSubtotal="0" showAll="0">
      <items count="184">
        <item x="2"/>
        <item x="142"/>
        <item x="156"/>
        <item x="168"/>
        <item x="18"/>
        <item x="34"/>
        <item x="45"/>
        <item x="59"/>
        <item x="73"/>
        <item x="90"/>
        <item x="109"/>
        <item x="125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</items>
    </pivotField>
  </pivotFields>
  <rowFields count="1">
    <field x="13"/>
  </rowFields>
  <rowItems count="5"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 ID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B143:I162" firstHeaderRow="1" firstDataRow="2" firstDataCol="2"/>
  <pivotFields count="1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4">
        <item x="5"/>
        <item x="8"/>
        <item x="7"/>
        <item x="0"/>
        <item x="10"/>
        <item x="4"/>
        <item x="6"/>
        <item x="1"/>
        <item x="2"/>
        <item x="3"/>
        <item x="11"/>
        <item x="12"/>
        <item x="9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axis="axisCol" compact="0" multipleItemSelectionAllowed="1" showAll="0">
      <items count="6">
        <item x="2"/>
        <item x="1"/>
        <item x="4"/>
        <item x="3"/>
        <item x="0"/>
        <item t="default"/>
      </items>
    </pivotField>
    <pivotField compact="0" numFmtId="186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dataField="1" compact="0" showAll="0">
      <items count="108">
        <item x="88"/>
        <item x="65"/>
        <item x="3"/>
        <item x="50"/>
        <item x="13"/>
        <item x="78"/>
        <item x="30"/>
        <item x="79"/>
        <item x="15"/>
        <item x="87"/>
        <item x="17"/>
        <item x="4"/>
        <item x="37"/>
        <item x="105"/>
        <item x="52"/>
        <item x="56"/>
        <item x="73"/>
        <item x="64"/>
        <item x="100"/>
        <item x="77"/>
        <item x="45"/>
        <item x="102"/>
        <item x="28"/>
        <item x="57"/>
        <item x="85"/>
        <item x="82"/>
        <item x="9"/>
        <item x="43"/>
        <item x="25"/>
        <item x="68"/>
        <item x="48"/>
        <item x="36"/>
        <item x="81"/>
        <item x="5"/>
        <item x="53"/>
        <item x="23"/>
        <item x="39"/>
        <item x="2"/>
        <item x="12"/>
        <item x="8"/>
        <item x="63"/>
        <item x="18"/>
        <item x="61"/>
        <item x="75"/>
        <item x="103"/>
        <item x="38"/>
        <item x="24"/>
        <item x="91"/>
        <item x="95"/>
        <item x="59"/>
        <item x="33"/>
        <item x="90"/>
        <item x="66"/>
        <item x="44"/>
        <item x="19"/>
        <item x="76"/>
        <item x="11"/>
        <item x="51"/>
        <item x="62"/>
        <item x="71"/>
        <item x="72"/>
        <item x="7"/>
        <item x="10"/>
        <item x="27"/>
        <item x="22"/>
        <item x="54"/>
        <item x="74"/>
        <item x="99"/>
        <item x="93"/>
        <item x="83"/>
        <item x="31"/>
        <item x="26"/>
        <item x="55"/>
        <item x="29"/>
        <item x="41"/>
        <item x="0"/>
        <item x="86"/>
        <item x="58"/>
        <item x="32"/>
        <item x="1"/>
        <item x="40"/>
        <item x="21"/>
        <item x="89"/>
        <item x="98"/>
        <item x="6"/>
        <item x="69"/>
        <item x="106"/>
        <item x="34"/>
        <item x="47"/>
        <item x="42"/>
        <item x="84"/>
        <item x="20"/>
        <item x="35"/>
        <item x="16"/>
        <item x="60"/>
        <item x="97"/>
        <item x="92"/>
        <item x="67"/>
        <item x="101"/>
        <item x="104"/>
        <item x="14"/>
        <item x="70"/>
        <item x="49"/>
        <item x="80"/>
        <item x="46"/>
        <item x="96"/>
        <item x="94"/>
        <item t="default"/>
      </items>
    </pivotField>
    <pivotField compact="0" showAll="0">
      <items count="44">
        <item x="28"/>
        <item x="36"/>
        <item x="41"/>
        <item x="33"/>
        <item x="31"/>
        <item x="39"/>
        <item x="40"/>
        <item x="38"/>
        <item x="37"/>
        <item x="42"/>
        <item x="32"/>
        <item x="29"/>
        <item x="26"/>
        <item x="15"/>
        <item x="30"/>
        <item x="24"/>
        <item x="21"/>
        <item x="25"/>
        <item x="27"/>
        <item x="34"/>
        <item x="3"/>
        <item x="1"/>
        <item x="35"/>
        <item x="22"/>
        <item x="23"/>
        <item x="16"/>
        <item x="7"/>
        <item x="8"/>
        <item x="6"/>
        <item x="20"/>
        <item x="11"/>
        <item x="10"/>
        <item x="9"/>
        <item x="17"/>
        <item x="18"/>
        <item x="12"/>
        <item x="5"/>
        <item x="14"/>
        <item x="19"/>
        <item x="2"/>
        <item x="4"/>
        <item x="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7">
        <item x="4"/>
        <item x="5"/>
        <item x="3"/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defaultSubtotal="0" showAll="0">
      <items count="184">
        <item x="2"/>
        <item x="142"/>
        <item x="156"/>
        <item x="168"/>
        <item x="18"/>
        <item x="34"/>
        <item x="45"/>
        <item x="59"/>
        <item x="73"/>
        <item x="90"/>
        <item x="109"/>
        <item x="125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</items>
    </pivotField>
  </pivotFields>
  <rowFields count="2">
    <field x="4"/>
    <field x="1"/>
  </rowFields>
  <rowItems count="18">
    <i>
      <x/>
    </i>
    <i r="1">
      <x v="2"/>
    </i>
    <i r="1">
      <x v="3"/>
    </i>
    <i r="1">
      <x v="10"/>
    </i>
    <i r="1">
      <x v="11"/>
    </i>
    <i>
      <x v="1"/>
    </i>
    <i r="1">
      <x v="1"/>
    </i>
    <i r="1">
      <x v="6"/>
    </i>
    <i r="1">
      <x v="7"/>
    </i>
    <i r="1">
      <x v="9"/>
    </i>
    <i r="1">
      <x v="12"/>
    </i>
    <i r="1">
      <x v="14"/>
    </i>
    <i>
      <x v="2"/>
    </i>
    <i r="1">
      <x/>
    </i>
    <i r="1">
      <x v="4"/>
    </i>
    <i r="1">
      <x v="5"/>
    </i>
    <i r="1">
      <x v="8"/>
    </i>
    <i r="1">
      <x v="13"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urchase Amount" fld="8" baseField="0" baseItem="0"/>
  </dataFields>
  <formats count="68">
    <format dxfId="4">
      <pivotArea collapsedLevelsAreSubtotals="1" fieldPosition="0">
        <references count="2">
          <reference field="1" count="1" selected="0">
            <x v="2"/>
          </reference>
          <reference field="4" count="1" selected="0">
            <x v="0"/>
          </reference>
        </references>
      </pivotArea>
    </format>
    <format dxfId="5">
      <pivotArea collapsedLevelsAreSubtotals="1" fieldPosition="0">
        <references count="2">
          <reference field="1" count="1" selected="0">
            <x v="3"/>
          </reference>
          <reference field="4" count="1" selected="0">
            <x v="0"/>
          </reference>
        </references>
      </pivotArea>
    </format>
    <format dxfId="6">
      <pivotArea collapsedLevelsAreSubtotals="1" fieldPosition="0">
        <references count="2">
          <reference field="1" count="1" selected="0">
            <x v="10"/>
          </reference>
          <reference field="4" count="1" selected="0">
            <x v="0"/>
          </reference>
        </references>
      </pivotArea>
    </format>
    <format dxfId="7">
      <pivotArea collapsedLevelsAreSubtotals="1" fieldPosition="0">
        <references count="2">
          <reference field="1" count="1" selected="0">
            <x v="11"/>
          </reference>
          <reference field="4" count="1" selected="0">
            <x v="0"/>
          </reference>
        </references>
      </pivotArea>
    </format>
    <format dxfId="8">
      <pivotArea collapsedLevelsAreSubtotals="1" fieldPosition="0">
        <references count="1">
          <reference field="4" count="1" selected="0">
            <x v="1"/>
          </reference>
        </references>
      </pivotArea>
    </format>
    <format dxfId="9">
      <pivotArea collapsedLevelsAreSubtotals="1" fieldPosition="0">
        <references count="2">
          <reference field="1" count="1" selected="0">
            <x v="1"/>
          </reference>
          <reference field="4" count="1" selected="0">
            <x v="1"/>
          </reference>
        </references>
      </pivotArea>
    </format>
    <format dxfId="10">
      <pivotArea collapsedLevelsAreSubtotals="1" fieldPosition="0">
        <references count="2">
          <reference field="1" count="1" selected="0">
            <x v="6"/>
          </reference>
          <reference field="4" count="1" selected="0">
            <x v="1"/>
          </reference>
        </references>
      </pivotArea>
    </format>
    <format dxfId="11">
      <pivotArea collapsedLevelsAreSubtotals="1" fieldPosition="0">
        <references count="2">
          <reference field="1" count="1" selected="0">
            <x v="7"/>
          </reference>
          <reference field="4" count="1" selected="0">
            <x v="1"/>
          </reference>
        </references>
      </pivotArea>
    </format>
    <format dxfId="12">
      <pivotArea collapsedLevelsAreSubtotals="1" fieldPosition="0">
        <references count="2">
          <reference field="1" count="1" selected="0">
            <x v="9"/>
          </reference>
          <reference field="4" count="1" selected="0">
            <x v="1"/>
          </reference>
        </references>
      </pivotArea>
    </format>
    <format dxfId="13">
      <pivotArea collapsedLevelsAreSubtotals="1" fieldPosition="0">
        <references count="2">
          <reference field="1" count="1" selected="0">
            <x v="12"/>
          </reference>
          <reference field="4" count="1" selected="0">
            <x v="1"/>
          </reference>
        </references>
      </pivotArea>
    </format>
    <format dxfId="14">
      <pivotArea collapsedLevelsAreSubtotals="1" fieldPosition="0">
        <references count="2">
          <reference field="1" count="1" selected="0">
            <x v="14"/>
          </reference>
          <reference field="4" count="1" selected="0">
            <x v="1"/>
          </reference>
        </references>
      </pivotArea>
    </format>
    <format dxfId="15">
      <pivotArea collapsedLevelsAreSubtotals="1" fieldPosition="0">
        <references count="1">
          <reference field="4" count="1" selected="0">
            <x v="2"/>
          </reference>
        </references>
      </pivotArea>
    </format>
    <format dxfId="16">
      <pivotArea collapsedLevelsAreSubtotals="1" fieldPosition="0">
        <references count="2">
          <reference field="1" count="1" selected="0">
            <x v="0"/>
          </reference>
          <reference field="4" count="1" selected="0">
            <x v="2"/>
          </reference>
        </references>
      </pivotArea>
    </format>
    <format dxfId="17">
      <pivotArea collapsedLevelsAreSubtotals="1" fieldPosition="0">
        <references count="2">
          <reference field="1" count="1" selected="0">
            <x v="4"/>
          </reference>
          <reference field="4" count="1" selected="0">
            <x v="2"/>
          </reference>
        </references>
      </pivotArea>
    </format>
    <format dxfId="18">
      <pivotArea collapsedLevelsAreSubtotals="1" fieldPosition="0">
        <references count="2">
          <reference field="1" count="1" selected="0">
            <x v="5"/>
          </reference>
          <reference field="4" count="1" selected="0">
            <x v="2"/>
          </reference>
        </references>
      </pivotArea>
    </format>
    <format dxfId="19">
      <pivotArea collapsedLevelsAreSubtotals="1" fieldPosition="0">
        <references count="2">
          <reference field="1" count="1" selected="0">
            <x v="8"/>
          </reference>
          <reference field="4" count="1" selected="0">
            <x v="2"/>
          </reference>
        </references>
      </pivotArea>
    </format>
    <format dxfId="20">
      <pivotArea collapsedLevelsAreSubtotals="1" fieldPosition="0">
        <references count="2">
          <reference field="1" count="1" selected="0">
            <x v="13"/>
          </reference>
          <reference field="4" count="1" selected="0">
            <x v="2"/>
          </reference>
        </references>
      </pivotArea>
    </format>
    <format dxfId="21">
      <pivotArea collapsedLevelsAreSubtotals="1" fieldPosition="0">
        <references count="2">
          <reference field="1" count="1" selected="0">
            <x v="2"/>
          </reference>
          <reference field="4" count="1" selected="0">
            <x v="0"/>
          </reference>
        </references>
      </pivotArea>
    </format>
    <format dxfId="22">
      <pivotArea collapsedLevelsAreSubtotals="1" fieldPosition="0">
        <references count="2">
          <reference field="1" count="1" selected="0">
            <x v="3"/>
          </reference>
          <reference field="4" count="1" selected="0">
            <x v="0"/>
          </reference>
        </references>
      </pivotArea>
    </format>
    <format dxfId="23">
      <pivotArea collapsedLevelsAreSubtotals="1" fieldPosition="0">
        <references count="2">
          <reference field="1" count="1" selected="0">
            <x v="10"/>
          </reference>
          <reference field="4" count="1" selected="0">
            <x v="0"/>
          </reference>
        </references>
      </pivotArea>
    </format>
    <format dxfId="24">
      <pivotArea collapsedLevelsAreSubtotals="1" fieldPosition="0">
        <references count="2">
          <reference field="1" count="1" selected="0">
            <x v="11"/>
          </reference>
          <reference field="4" count="1" selected="0">
            <x v="0"/>
          </reference>
        </references>
      </pivotArea>
    </format>
    <format dxfId="25">
      <pivotArea collapsedLevelsAreSubtotals="1" fieldPosition="0">
        <references count="1">
          <reference field="4" count="1" selected="0">
            <x v="1"/>
          </reference>
        </references>
      </pivotArea>
    </format>
    <format dxfId="26">
      <pivotArea collapsedLevelsAreSubtotals="1" fieldPosition="0">
        <references count="2">
          <reference field="1" count="1" selected="0">
            <x v="1"/>
          </reference>
          <reference field="4" count="1" selected="0">
            <x v="1"/>
          </reference>
        </references>
      </pivotArea>
    </format>
    <format dxfId="27">
      <pivotArea collapsedLevelsAreSubtotals="1" fieldPosition="0">
        <references count="2">
          <reference field="1" count="1" selected="0">
            <x v="6"/>
          </reference>
          <reference field="4" count="1" selected="0">
            <x v="1"/>
          </reference>
        </references>
      </pivotArea>
    </format>
    <format dxfId="28">
      <pivotArea collapsedLevelsAreSubtotals="1" fieldPosition="0">
        <references count="2">
          <reference field="1" count="1" selected="0">
            <x v="7"/>
          </reference>
          <reference field="4" count="1" selected="0">
            <x v="1"/>
          </reference>
        </references>
      </pivotArea>
    </format>
    <format dxfId="29">
      <pivotArea collapsedLevelsAreSubtotals="1" fieldPosition="0">
        <references count="2">
          <reference field="1" count="1" selected="0">
            <x v="9"/>
          </reference>
          <reference field="4" count="1" selected="0">
            <x v="1"/>
          </reference>
        </references>
      </pivotArea>
    </format>
    <format dxfId="30">
      <pivotArea collapsedLevelsAreSubtotals="1" fieldPosition="0">
        <references count="2">
          <reference field="1" count="1" selected="0">
            <x v="12"/>
          </reference>
          <reference field="4" count="1" selected="0">
            <x v="1"/>
          </reference>
        </references>
      </pivotArea>
    </format>
    <format dxfId="31">
      <pivotArea collapsedLevelsAreSubtotals="1" fieldPosition="0">
        <references count="2">
          <reference field="1" count="1" selected="0">
            <x v="14"/>
          </reference>
          <reference field="4" count="1" selected="0">
            <x v="1"/>
          </reference>
        </references>
      </pivotArea>
    </format>
    <format dxfId="32">
      <pivotArea collapsedLevelsAreSubtotals="1" fieldPosition="0">
        <references count="1">
          <reference field="4" count="1" selected="0">
            <x v="2"/>
          </reference>
        </references>
      </pivotArea>
    </format>
    <format dxfId="33">
      <pivotArea collapsedLevelsAreSubtotals="1" fieldPosition="0">
        <references count="2">
          <reference field="1" count="1" selected="0">
            <x v="0"/>
          </reference>
          <reference field="4" count="1" selected="0">
            <x v="2"/>
          </reference>
        </references>
      </pivotArea>
    </format>
    <format dxfId="34">
      <pivotArea collapsedLevelsAreSubtotals="1" fieldPosition="0">
        <references count="2">
          <reference field="1" count="1" selected="0">
            <x v="4"/>
          </reference>
          <reference field="4" count="1" selected="0">
            <x v="2"/>
          </reference>
        </references>
      </pivotArea>
    </format>
    <format dxfId="35">
      <pivotArea collapsedLevelsAreSubtotals="1" fieldPosition="0">
        <references count="2">
          <reference field="1" count="1" selected="0">
            <x v="5"/>
          </reference>
          <reference field="4" count="1" selected="0">
            <x v="2"/>
          </reference>
        </references>
      </pivotArea>
    </format>
    <format dxfId="36">
      <pivotArea collapsedLevelsAreSubtotals="1" fieldPosition="0">
        <references count="2">
          <reference field="1" count="1" selected="0">
            <x v="8"/>
          </reference>
          <reference field="4" count="1" selected="0">
            <x v="2"/>
          </reference>
        </references>
      </pivotArea>
    </format>
    <format dxfId="37">
      <pivotArea collapsedLevelsAreSubtotals="1" fieldPosition="0">
        <references count="2">
          <reference field="1" count="1" selected="0">
            <x v="13"/>
          </reference>
          <reference field="4" count="1" selected="0">
            <x v="2"/>
          </reference>
        </references>
      </pivotArea>
    </format>
    <format dxfId="38">
      <pivotArea collapsedLevelsAreSubtotals="1" fieldPosition="0">
        <references count="2">
          <reference field="1" count="1" selected="0">
            <x v="2"/>
          </reference>
          <reference field="4" count="1" selected="0">
            <x v="0"/>
          </reference>
        </references>
      </pivotArea>
    </format>
    <format dxfId="39">
      <pivotArea collapsedLevelsAreSubtotals="1" fieldPosition="0">
        <references count="2">
          <reference field="1" count="1" selected="0">
            <x v="3"/>
          </reference>
          <reference field="4" count="1" selected="0">
            <x v="0"/>
          </reference>
        </references>
      </pivotArea>
    </format>
    <format dxfId="40">
      <pivotArea collapsedLevelsAreSubtotals="1" fieldPosition="0">
        <references count="2">
          <reference field="1" count="1" selected="0">
            <x v="10"/>
          </reference>
          <reference field="4" count="1" selected="0">
            <x v="0"/>
          </reference>
        </references>
      </pivotArea>
    </format>
    <format dxfId="41">
      <pivotArea collapsedLevelsAreSubtotals="1" fieldPosition="0">
        <references count="2">
          <reference field="1" count="1" selected="0">
            <x v="11"/>
          </reference>
          <reference field="4" count="1" selected="0">
            <x v="0"/>
          </reference>
        </references>
      </pivotArea>
    </format>
    <format dxfId="42">
      <pivotArea collapsedLevelsAreSubtotals="1" fieldPosition="0">
        <references count="1">
          <reference field="4" count="1" selected="0">
            <x v="1"/>
          </reference>
        </references>
      </pivotArea>
    </format>
    <format dxfId="43">
      <pivotArea collapsedLevelsAreSubtotals="1" fieldPosition="0">
        <references count="2">
          <reference field="1" count="1" selected="0">
            <x v="1"/>
          </reference>
          <reference field="4" count="1" selected="0">
            <x v="1"/>
          </reference>
        </references>
      </pivotArea>
    </format>
    <format dxfId="44">
      <pivotArea collapsedLevelsAreSubtotals="1" fieldPosition="0">
        <references count="2">
          <reference field="1" count="1" selected="0">
            <x v="6"/>
          </reference>
          <reference field="4" count="1" selected="0">
            <x v="1"/>
          </reference>
        </references>
      </pivotArea>
    </format>
    <format dxfId="45">
      <pivotArea collapsedLevelsAreSubtotals="1" fieldPosition="0">
        <references count="2">
          <reference field="1" count="1" selected="0">
            <x v="7"/>
          </reference>
          <reference field="4" count="1" selected="0">
            <x v="1"/>
          </reference>
        </references>
      </pivotArea>
    </format>
    <format dxfId="46">
      <pivotArea collapsedLevelsAreSubtotals="1" fieldPosition="0">
        <references count="2">
          <reference field="1" count="1" selected="0">
            <x v="9"/>
          </reference>
          <reference field="4" count="1" selected="0">
            <x v="1"/>
          </reference>
        </references>
      </pivotArea>
    </format>
    <format dxfId="47">
      <pivotArea collapsedLevelsAreSubtotals="1" fieldPosition="0">
        <references count="2">
          <reference field="1" count="1" selected="0">
            <x v="12"/>
          </reference>
          <reference field="4" count="1" selected="0">
            <x v="1"/>
          </reference>
        </references>
      </pivotArea>
    </format>
    <format dxfId="48">
      <pivotArea collapsedLevelsAreSubtotals="1" fieldPosition="0">
        <references count="2">
          <reference field="1" count="1" selected="0">
            <x v="14"/>
          </reference>
          <reference field="4" count="1" selected="0">
            <x v="1"/>
          </reference>
        </references>
      </pivotArea>
    </format>
    <format dxfId="49">
      <pivotArea collapsedLevelsAreSubtotals="1" fieldPosition="0">
        <references count="1">
          <reference field="4" count="1" selected="0">
            <x v="2"/>
          </reference>
        </references>
      </pivotArea>
    </format>
    <format dxfId="50">
      <pivotArea collapsedLevelsAreSubtotals="1" fieldPosition="0">
        <references count="2">
          <reference field="1" count="1" selected="0">
            <x v="0"/>
          </reference>
          <reference field="4" count="1" selected="0">
            <x v="2"/>
          </reference>
        </references>
      </pivotArea>
    </format>
    <format dxfId="51">
      <pivotArea collapsedLevelsAreSubtotals="1" fieldPosition="0">
        <references count="2">
          <reference field="1" count="1" selected="0">
            <x v="4"/>
          </reference>
          <reference field="4" count="1" selected="0">
            <x v="2"/>
          </reference>
        </references>
      </pivotArea>
    </format>
    <format dxfId="52">
      <pivotArea collapsedLevelsAreSubtotals="1" fieldPosition="0">
        <references count="2">
          <reference field="1" count="1" selected="0">
            <x v="5"/>
          </reference>
          <reference field="4" count="1" selected="0">
            <x v="2"/>
          </reference>
        </references>
      </pivotArea>
    </format>
    <format dxfId="53">
      <pivotArea collapsedLevelsAreSubtotals="1" fieldPosition="0">
        <references count="2">
          <reference field="1" count="1" selected="0">
            <x v="8"/>
          </reference>
          <reference field="4" count="1" selected="0">
            <x v="2"/>
          </reference>
        </references>
      </pivotArea>
    </format>
    <format dxfId="54">
      <pivotArea collapsedLevelsAreSubtotals="1" fieldPosition="0">
        <references count="2">
          <reference field="1" count="1" selected="0">
            <x v="13"/>
          </reference>
          <reference field="4" count="1" selected="0">
            <x v="2"/>
          </reference>
        </references>
      </pivotArea>
    </format>
    <format dxfId="55">
      <pivotArea collapsedLevelsAreSubtotals="1" fieldPosition="0">
        <references count="2">
          <reference field="1" count="1" selected="0">
            <x v="2"/>
          </reference>
          <reference field="4" count="1" selected="0">
            <x v="0"/>
          </reference>
        </references>
      </pivotArea>
    </format>
    <format dxfId="56">
      <pivotArea collapsedLevelsAreSubtotals="1" fieldPosition="0">
        <references count="2">
          <reference field="1" count="1" selected="0">
            <x v="3"/>
          </reference>
          <reference field="4" count="1" selected="0">
            <x v="0"/>
          </reference>
        </references>
      </pivotArea>
    </format>
    <format dxfId="57">
      <pivotArea collapsedLevelsAreSubtotals="1" fieldPosition="0">
        <references count="2">
          <reference field="1" count="1" selected="0">
            <x v="10"/>
          </reference>
          <reference field="4" count="1" selected="0">
            <x v="0"/>
          </reference>
        </references>
      </pivotArea>
    </format>
    <format dxfId="58">
      <pivotArea collapsedLevelsAreSubtotals="1" fieldPosition="0">
        <references count="2">
          <reference field="1" count="1" selected="0">
            <x v="11"/>
          </reference>
          <reference field="4" count="1" selected="0">
            <x v="0"/>
          </reference>
        </references>
      </pivotArea>
    </format>
    <format dxfId="59">
      <pivotArea collapsedLevelsAreSubtotals="1" fieldPosition="0">
        <references count="1">
          <reference field="4" count="1" selected="0">
            <x v="1"/>
          </reference>
        </references>
      </pivotArea>
    </format>
    <format dxfId="60">
      <pivotArea collapsedLevelsAreSubtotals="1" fieldPosition="0">
        <references count="2">
          <reference field="1" count="1" selected="0">
            <x v="1"/>
          </reference>
          <reference field="4" count="1" selected="0">
            <x v="1"/>
          </reference>
        </references>
      </pivotArea>
    </format>
    <format dxfId="61">
      <pivotArea collapsedLevelsAreSubtotals="1" fieldPosition="0">
        <references count="2">
          <reference field="1" count="1" selected="0">
            <x v="6"/>
          </reference>
          <reference field="4" count="1" selected="0">
            <x v="1"/>
          </reference>
        </references>
      </pivotArea>
    </format>
    <format dxfId="62">
      <pivotArea collapsedLevelsAreSubtotals="1" fieldPosition="0">
        <references count="2">
          <reference field="1" count="1" selected="0">
            <x v="7"/>
          </reference>
          <reference field="4" count="1" selected="0">
            <x v="1"/>
          </reference>
        </references>
      </pivotArea>
    </format>
    <format dxfId="63">
      <pivotArea collapsedLevelsAreSubtotals="1" fieldPosition="0">
        <references count="2">
          <reference field="1" count="1" selected="0">
            <x v="9"/>
          </reference>
          <reference field="4" count="1" selected="0">
            <x v="1"/>
          </reference>
        </references>
      </pivotArea>
    </format>
    <format dxfId="64">
      <pivotArea collapsedLevelsAreSubtotals="1" fieldPosition="0">
        <references count="2">
          <reference field="1" count="1" selected="0">
            <x v="12"/>
          </reference>
          <reference field="4" count="1" selected="0">
            <x v="1"/>
          </reference>
        </references>
      </pivotArea>
    </format>
    <format dxfId="65">
      <pivotArea collapsedLevelsAreSubtotals="1" fieldPosition="0">
        <references count="2">
          <reference field="1" count="1" selected="0">
            <x v="14"/>
          </reference>
          <reference field="4" count="1" selected="0">
            <x v="1"/>
          </reference>
        </references>
      </pivotArea>
    </format>
    <format dxfId="66">
      <pivotArea collapsedLevelsAreSubtotals="1" fieldPosition="0">
        <references count="1">
          <reference field="4" count="1" selected="0">
            <x v="2"/>
          </reference>
        </references>
      </pivotArea>
    </format>
    <format dxfId="67">
      <pivotArea collapsedLevelsAreSubtotals="1" fieldPosition="0">
        <references count="2">
          <reference field="1" count="1" selected="0">
            <x v="0"/>
          </reference>
          <reference field="4" count="1" selected="0">
            <x v="2"/>
          </reference>
        </references>
      </pivotArea>
    </format>
    <format dxfId="68">
      <pivotArea collapsedLevelsAreSubtotals="1" fieldPosition="0">
        <references count="2">
          <reference field="1" count="1" selected="0">
            <x v="4"/>
          </reference>
          <reference field="4" count="1" selected="0">
            <x v="2"/>
          </reference>
        </references>
      </pivotArea>
    </format>
    <format dxfId="69">
      <pivotArea collapsedLevelsAreSubtotals="1" fieldPosition="0">
        <references count="2">
          <reference field="1" count="1" selected="0">
            <x v="5"/>
          </reference>
          <reference field="4" count="1" selected="0">
            <x v="2"/>
          </reference>
        </references>
      </pivotArea>
    </format>
    <format dxfId="70">
      <pivotArea collapsedLevelsAreSubtotals="1" fieldPosition="0">
        <references count="2">
          <reference field="1" count="1" selected="0">
            <x v="8"/>
          </reference>
          <reference field="4" count="1" selected="0">
            <x v="2"/>
          </reference>
        </references>
      </pivotArea>
    </format>
    <format dxfId="71">
      <pivotArea collapsedLevelsAreSubtotals="1" fieldPosition="0">
        <references count="2">
          <reference field="1" count="1" selected="0">
            <x v="13"/>
          </reference>
          <reference field="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71:C188" firstHeaderRow="1" firstDataRow="1" firstDataCol="0"/>
  <pivotFields count="16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6">
        <item x="2"/>
        <item x="1"/>
        <item x="4"/>
        <item x="3"/>
        <item x="0"/>
        <item t="default"/>
      </items>
    </pivotField>
    <pivotField compact="0" numFmtId="18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rep pivo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4:E15" firstHeaderRow="0" firstDataRow="1" firstDataCol="0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4">
        <item x="5"/>
        <item x="8"/>
        <item x="7"/>
        <item x="0"/>
        <item x="10"/>
        <item x="4"/>
        <item x="6"/>
        <item x="1"/>
        <item x="2"/>
        <item x="3"/>
        <item x="11"/>
        <item x="12"/>
        <item x="9"/>
        <item t="default"/>
      </items>
    </pivotField>
    <pivotField compact="0" showAll="0">
      <items count="4">
        <item x="0"/>
        <item x="2"/>
        <item x="1"/>
        <item t="default"/>
      </items>
    </pivotField>
    <pivotField dataField="1" compact="0"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compact="0" showAll="0">
      <items count="6">
        <item h="1" x="2"/>
        <item h="1" x="1"/>
        <item h="1" x="4"/>
        <item h="1" x="3"/>
        <item x="0"/>
        <item t="default"/>
      </items>
    </pivotField>
    <pivotField compact="0" numFmtId="186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dataField="1" compact="0" showAll="0">
      <items count="108">
        <item x="88"/>
        <item x="65"/>
        <item x="3"/>
        <item x="50"/>
        <item x="13"/>
        <item x="78"/>
        <item x="30"/>
        <item x="79"/>
        <item x="15"/>
        <item x="87"/>
        <item x="17"/>
        <item x="4"/>
        <item x="37"/>
        <item x="105"/>
        <item x="52"/>
        <item x="56"/>
        <item x="73"/>
        <item x="64"/>
        <item x="100"/>
        <item x="77"/>
        <item x="45"/>
        <item x="102"/>
        <item x="28"/>
        <item x="57"/>
        <item x="85"/>
        <item x="82"/>
        <item x="9"/>
        <item x="43"/>
        <item x="25"/>
        <item x="68"/>
        <item x="48"/>
        <item x="36"/>
        <item x="81"/>
        <item x="5"/>
        <item x="53"/>
        <item x="23"/>
        <item x="39"/>
        <item x="2"/>
        <item x="12"/>
        <item x="8"/>
        <item x="63"/>
        <item x="18"/>
        <item x="61"/>
        <item x="75"/>
        <item x="103"/>
        <item x="38"/>
        <item x="24"/>
        <item x="91"/>
        <item x="95"/>
        <item x="59"/>
        <item x="33"/>
        <item x="90"/>
        <item x="66"/>
        <item x="44"/>
        <item x="19"/>
        <item x="76"/>
        <item x="11"/>
        <item x="51"/>
        <item x="62"/>
        <item x="71"/>
        <item x="72"/>
        <item x="7"/>
        <item x="10"/>
        <item x="27"/>
        <item x="22"/>
        <item x="54"/>
        <item x="74"/>
        <item x="99"/>
        <item x="93"/>
        <item x="83"/>
        <item x="31"/>
        <item x="26"/>
        <item x="55"/>
        <item x="29"/>
        <item x="41"/>
        <item x="0"/>
        <item x="86"/>
        <item x="58"/>
        <item x="32"/>
        <item x="1"/>
        <item x="40"/>
        <item x="21"/>
        <item x="89"/>
        <item x="98"/>
        <item x="6"/>
        <item x="69"/>
        <item x="106"/>
        <item x="34"/>
        <item x="47"/>
        <item x="42"/>
        <item x="84"/>
        <item x="20"/>
        <item x="35"/>
        <item x="16"/>
        <item x="60"/>
        <item x="97"/>
        <item x="92"/>
        <item x="67"/>
        <item x="101"/>
        <item x="104"/>
        <item x="14"/>
        <item x="70"/>
        <item x="49"/>
        <item x="80"/>
        <item x="46"/>
        <item x="96"/>
        <item x="94"/>
        <item t="default"/>
      </items>
    </pivotField>
    <pivotField dataField="1" compact="0" multipleItemSelectionAllowed="1" showAll="0">
      <items count="44">
        <item h="1" x="28"/>
        <item h="1" x="36"/>
        <item h="1" x="41"/>
        <item h="1" x="33"/>
        <item h="1" x="31"/>
        <item h="1" x="39"/>
        <item h="1" x="40"/>
        <item h="1" x="38"/>
        <item h="1" x="37"/>
        <item h="1" x="42"/>
        <item h="1" x="32"/>
        <item h="1" x="29"/>
        <item h="1" x="26"/>
        <item h="1" x="15"/>
        <item h="1" x="30"/>
        <item h="1" x="24"/>
        <item h="1" x="21"/>
        <item h="1" x="25"/>
        <item h="1" x="27"/>
        <item h="1" x="34"/>
        <item h="1" x="3"/>
        <item h="1" x="1"/>
        <item h="1" x="35"/>
        <item h="1" x="22"/>
        <item h="1" x="23"/>
        <item h="1" x="16"/>
        <item h="1" x="7"/>
        <item h="1" x="8"/>
        <item h="1" x="6"/>
        <item h="1" x="20"/>
        <item h="1" x="11"/>
        <item h="1" x="10"/>
        <item h="1" x="9"/>
        <item h="1" x="17"/>
        <item h="1" x="18"/>
        <item h="1" x="12"/>
        <item h="1" x="5"/>
        <item h="1" x="14"/>
        <item h="1" x="19"/>
        <item h="1" x="2"/>
        <item h="1" x="4"/>
        <item h="1" x="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2">
        <item x="0"/>
        <item t="default"/>
      </items>
    </pivotField>
    <pivotField compact="0" defaultSubtotal="0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Call number" fld="0" subtotal="count" baseField="0" baseItem="0"/>
    <dataField name="Sum of Duration" fld="5" baseField="0" baseItem="0"/>
    <dataField name="Sum of Purchase Amount" fld="8" baseField="0" baseItem="0" numFmtId="188"/>
    <dataField name="Average of 5* Calls" fld="14" subtotal="average" baseField="0" baseItem="0"/>
    <dataField name="Average of Satisfaction Rating" fld="9" subtotal="average" baseField="0" baseItem="0" numFmtId="182"/>
  </dataFields>
  <formats count="2">
    <format dxfId="7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73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Monthly tren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9:C42" firstHeaderRow="0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4">
        <item x="5"/>
        <item x="8"/>
        <item x="7"/>
        <item x="0"/>
        <item x="10"/>
        <item x="4"/>
        <item x="6"/>
        <item x="1"/>
        <item x="2"/>
        <item x="3"/>
        <item x="11"/>
        <item x="12"/>
        <item x="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compact="0" showAll="0">
      <items count="6">
        <item h="1" x="2"/>
        <item h="1" x="1"/>
        <item h="1" x="4"/>
        <item h="1" x="3"/>
        <item x="0"/>
        <item t="default"/>
      </items>
    </pivotField>
    <pivotField compact="0" numFmtId="186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compact="0" showAll="0">
      <items count="108">
        <item x="88"/>
        <item x="65"/>
        <item x="3"/>
        <item x="50"/>
        <item x="13"/>
        <item x="78"/>
        <item x="30"/>
        <item x="79"/>
        <item x="15"/>
        <item x="87"/>
        <item x="17"/>
        <item x="4"/>
        <item x="37"/>
        <item x="105"/>
        <item x="52"/>
        <item x="56"/>
        <item x="73"/>
        <item x="64"/>
        <item x="100"/>
        <item x="77"/>
        <item x="45"/>
        <item x="102"/>
        <item x="28"/>
        <item x="57"/>
        <item x="85"/>
        <item x="82"/>
        <item x="9"/>
        <item x="43"/>
        <item x="25"/>
        <item x="68"/>
        <item x="48"/>
        <item x="36"/>
        <item x="81"/>
        <item x="5"/>
        <item x="53"/>
        <item x="23"/>
        <item x="39"/>
        <item x="2"/>
        <item x="12"/>
        <item x="8"/>
        <item x="63"/>
        <item x="18"/>
        <item x="61"/>
        <item x="75"/>
        <item x="103"/>
        <item x="38"/>
        <item x="24"/>
        <item x="91"/>
        <item x="95"/>
        <item x="59"/>
        <item x="33"/>
        <item x="90"/>
        <item x="66"/>
        <item x="44"/>
        <item x="19"/>
        <item x="76"/>
        <item x="11"/>
        <item x="51"/>
        <item x="62"/>
        <item x="71"/>
        <item x="72"/>
        <item x="7"/>
        <item x="10"/>
        <item x="27"/>
        <item x="22"/>
        <item x="54"/>
        <item x="74"/>
        <item x="99"/>
        <item x="93"/>
        <item x="83"/>
        <item x="31"/>
        <item x="26"/>
        <item x="55"/>
        <item x="29"/>
        <item x="41"/>
        <item x="0"/>
        <item x="86"/>
        <item x="58"/>
        <item x="32"/>
        <item x="1"/>
        <item x="40"/>
        <item x="21"/>
        <item x="89"/>
        <item x="98"/>
        <item x="6"/>
        <item x="69"/>
        <item x="106"/>
        <item x="34"/>
        <item x="47"/>
        <item x="42"/>
        <item x="84"/>
        <item x="20"/>
        <item x="35"/>
        <item x="16"/>
        <item x="60"/>
        <item x="97"/>
        <item x="92"/>
        <item x="67"/>
        <item x="101"/>
        <item x="104"/>
        <item x="14"/>
        <item x="70"/>
        <item x="49"/>
        <item x="80"/>
        <item x="46"/>
        <item x="96"/>
        <item x="94"/>
        <item t="default"/>
      </items>
    </pivotField>
    <pivotField compact="0" multipleItemSelectionAllowed="1" showAll="0">
      <items count="44">
        <item h="1" x="28"/>
        <item h="1" x="36"/>
        <item h="1" x="41"/>
        <item h="1" x="33"/>
        <item h="1" x="31"/>
        <item h="1" x="39"/>
        <item h="1" x="40"/>
        <item h="1" x="38"/>
        <item h="1" x="37"/>
        <item h="1" x="42"/>
        <item h="1" x="32"/>
        <item h="1" x="29"/>
        <item h="1" x="26"/>
        <item h="1" x="15"/>
        <item h="1" x="30"/>
        <item h="1" x="24"/>
        <item h="1" x="21"/>
        <item h="1" x="25"/>
        <item h="1" x="27"/>
        <item h="1" x="34"/>
        <item h="1" x="3"/>
        <item h="1" x="1"/>
        <item h="1" x="35"/>
        <item h="1" x="22"/>
        <item h="1" x="23"/>
        <item h="1" x="16"/>
        <item h="1" x="7"/>
        <item h="1" x="8"/>
        <item h="1" x="6"/>
        <item h="1" x="20"/>
        <item h="1" x="11"/>
        <item h="1" x="10"/>
        <item h="1" x="9"/>
        <item h="1" x="17"/>
        <item h="1" x="18"/>
        <item h="1" x="12"/>
        <item h="1" x="5"/>
        <item h="1" x="14"/>
        <item h="1" x="19"/>
        <item h="1" x="2"/>
        <item h="1" x="4"/>
        <item h="1" x="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">
        <item x="0"/>
        <item t="default"/>
      </items>
    </pivotField>
    <pivotField axis="axisRow" compact="0" defaultSubtotal="0" multipleItemSelectionAllowed="1" showAll="0">
      <items count="184">
        <item h="1" x="0"/>
        <item h="1" x="1"/>
        <item sd="0" n="January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sd="0" n="February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sd="0" n="March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sd="0" n="April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sd="0" n="May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sd="0" n="June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sd="0" n="July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sd="0" n="August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sd="0" n="September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sd="0" n="October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sd="0" n="November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sd="0" n="December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</items>
    </pivotField>
  </pivotFields>
  <rowFields count="1">
    <field x="15"/>
  </rowFields>
  <rowItems count="13">
    <i>
      <x v="2"/>
    </i>
    <i>
      <x v="18"/>
    </i>
    <i>
      <x v="34"/>
    </i>
    <i>
      <x v="45"/>
    </i>
    <i>
      <x v="59"/>
    </i>
    <i>
      <x v="73"/>
    </i>
    <i>
      <x v="90"/>
    </i>
    <i>
      <x v="109"/>
    </i>
    <i>
      <x v="125"/>
    </i>
    <i>
      <x v="142"/>
    </i>
    <i>
      <x v="156"/>
    </i>
    <i>
      <x v="16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ll number" fld="0" subtotal="count" baseField="0" baseItem="0"/>
    <dataField name="Count of Call number2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weekday tren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5:B63" firstHeaderRow="1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4">
        <item x="5"/>
        <item x="8"/>
        <item x="7"/>
        <item x="0"/>
        <item x="10"/>
        <item x="4"/>
        <item x="6"/>
        <item x="1"/>
        <item x="2"/>
        <item x="3"/>
        <item x="11"/>
        <item x="12"/>
        <item x="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compact="0" showAll="0">
      <items count="6">
        <item h="1" x="2"/>
        <item h="1" x="1"/>
        <item h="1" x="4"/>
        <item h="1" x="3"/>
        <item x="0"/>
        <item t="default"/>
      </items>
    </pivotField>
    <pivotField compact="0" numFmtId="186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compact="0" showAll="0">
      <items count="108">
        <item x="88"/>
        <item x="65"/>
        <item x="3"/>
        <item x="50"/>
        <item x="13"/>
        <item x="78"/>
        <item x="30"/>
        <item x="79"/>
        <item x="15"/>
        <item x="87"/>
        <item x="17"/>
        <item x="4"/>
        <item x="37"/>
        <item x="105"/>
        <item x="52"/>
        <item x="56"/>
        <item x="73"/>
        <item x="64"/>
        <item x="100"/>
        <item x="77"/>
        <item x="45"/>
        <item x="102"/>
        <item x="28"/>
        <item x="57"/>
        <item x="85"/>
        <item x="82"/>
        <item x="9"/>
        <item x="43"/>
        <item x="25"/>
        <item x="68"/>
        <item x="48"/>
        <item x="36"/>
        <item x="81"/>
        <item x="5"/>
        <item x="53"/>
        <item x="23"/>
        <item x="39"/>
        <item x="2"/>
        <item x="12"/>
        <item x="8"/>
        <item x="63"/>
        <item x="18"/>
        <item x="61"/>
        <item x="75"/>
        <item x="103"/>
        <item x="38"/>
        <item x="24"/>
        <item x="91"/>
        <item x="95"/>
        <item x="59"/>
        <item x="33"/>
        <item x="90"/>
        <item x="66"/>
        <item x="44"/>
        <item x="19"/>
        <item x="76"/>
        <item x="11"/>
        <item x="51"/>
        <item x="62"/>
        <item x="71"/>
        <item x="72"/>
        <item x="7"/>
        <item x="10"/>
        <item x="27"/>
        <item x="22"/>
        <item x="54"/>
        <item x="74"/>
        <item x="99"/>
        <item x="93"/>
        <item x="83"/>
        <item x="31"/>
        <item x="26"/>
        <item x="55"/>
        <item x="29"/>
        <item x="41"/>
        <item x="0"/>
        <item x="86"/>
        <item x="58"/>
        <item x="32"/>
        <item x="1"/>
        <item x="40"/>
        <item x="21"/>
        <item x="89"/>
        <item x="98"/>
        <item x="6"/>
        <item x="69"/>
        <item x="106"/>
        <item x="34"/>
        <item x="47"/>
        <item x="42"/>
        <item x="84"/>
        <item x="20"/>
        <item x="35"/>
        <item x="16"/>
        <item x="60"/>
        <item x="97"/>
        <item x="92"/>
        <item x="67"/>
        <item x="101"/>
        <item x="104"/>
        <item x="14"/>
        <item x="70"/>
        <item x="49"/>
        <item x="80"/>
        <item x="46"/>
        <item x="96"/>
        <item x="94"/>
        <item t="default"/>
      </items>
    </pivotField>
    <pivotField compact="0" multipleItemSelectionAllowed="1" showAll="0">
      <items count="44">
        <item h="1" x="28"/>
        <item h="1" x="36"/>
        <item h="1" x="41"/>
        <item h="1" x="33"/>
        <item h="1" x="31"/>
        <item h="1" x="39"/>
        <item h="1" x="40"/>
        <item h="1" x="38"/>
        <item h="1" x="37"/>
        <item h="1" x="42"/>
        <item h="1" x="32"/>
        <item h="1" x="29"/>
        <item h="1" x="26"/>
        <item h="1" x="15"/>
        <item h="1" x="30"/>
        <item h="1" x="24"/>
        <item h="1" x="21"/>
        <item h="1" x="25"/>
        <item h="1" x="27"/>
        <item h="1" x="34"/>
        <item h="1" x="3"/>
        <item h="1" x="1"/>
        <item h="1" x="35"/>
        <item h="1" x="22"/>
        <item h="1" x="23"/>
        <item h="1" x="16"/>
        <item h="1" x="7"/>
        <item h="1" x="8"/>
        <item h="1" x="6"/>
        <item h="1" x="20"/>
        <item h="1" x="11"/>
        <item h="1" x="10"/>
        <item h="1" x="9"/>
        <item h="1" x="17"/>
        <item h="1" x="18"/>
        <item h="1" x="12"/>
        <item h="1" x="5"/>
        <item h="1" x="14"/>
        <item h="1" x="19"/>
        <item h="1" x="2"/>
        <item h="1" x="4"/>
        <item h="1" x="0"/>
        <item x="13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">
        <item x="0"/>
        <item t="default"/>
      </items>
    </pivotField>
    <pivotField compact="0" defaultSubtotal="0" multipleItemSelectionAllowed="1" showAll="0">
      <items count="184">
        <item h="1" x="0"/>
        <item h="1" x="1"/>
        <item sd="0" n="January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sd="0" n="February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sd="0" n="March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sd="0" n="April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sd="0" n="May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sd="0" n="June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sd="0" n="July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sd="0" n="August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sd="0" n="September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sd="0" n="October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sd="0" n="November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sd="0" n="December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all number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reps pivo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77:C83" firstHeaderRow="0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2"/>
        <item x="1"/>
        <item x="4"/>
        <item x="3"/>
        <item x="0"/>
        <item t="default"/>
      </items>
    </pivotField>
    <pivotField compact="0" numFmtId="186" showAll="0"/>
    <pivotField dataField="1" compact="0" showAll="0">
      <items count="108">
        <item x="88"/>
        <item x="65"/>
        <item x="3"/>
        <item x="50"/>
        <item x="13"/>
        <item x="78"/>
        <item x="30"/>
        <item x="79"/>
        <item x="15"/>
        <item x="87"/>
        <item x="17"/>
        <item x="4"/>
        <item x="37"/>
        <item x="105"/>
        <item x="52"/>
        <item x="56"/>
        <item x="73"/>
        <item x="64"/>
        <item x="100"/>
        <item x="77"/>
        <item x="45"/>
        <item x="102"/>
        <item x="28"/>
        <item x="57"/>
        <item x="85"/>
        <item x="82"/>
        <item x="9"/>
        <item x="43"/>
        <item x="25"/>
        <item x="68"/>
        <item x="48"/>
        <item x="36"/>
        <item x="81"/>
        <item x="5"/>
        <item x="53"/>
        <item x="23"/>
        <item x="39"/>
        <item x="2"/>
        <item x="12"/>
        <item x="8"/>
        <item x="63"/>
        <item x="18"/>
        <item x="61"/>
        <item x="75"/>
        <item x="103"/>
        <item x="38"/>
        <item x="24"/>
        <item x="91"/>
        <item x="95"/>
        <item x="59"/>
        <item x="33"/>
        <item x="90"/>
        <item x="66"/>
        <item x="44"/>
        <item x="19"/>
        <item x="76"/>
        <item x="11"/>
        <item x="51"/>
        <item x="62"/>
        <item x="71"/>
        <item x="72"/>
        <item x="7"/>
        <item x="10"/>
        <item x="27"/>
        <item x="22"/>
        <item x="54"/>
        <item x="74"/>
        <item x="99"/>
        <item x="93"/>
        <item x="83"/>
        <item x="31"/>
        <item x="26"/>
        <item x="55"/>
        <item x="29"/>
        <item x="41"/>
        <item x="0"/>
        <item x="86"/>
        <item x="58"/>
        <item x="32"/>
        <item x="1"/>
        <item x="40"/>
        <item x="21"/>
        <item x="89"/>
        <item x="98"/>
        <item x="6"/>
        <item x="69"/>
        <item x="106"/>
        <item x="34"/>
        <item x="47"/>
        <item x="42"/>
        <item x="84"/>
        <item x="20"/>
        <item x="35"/>
        <item x="16"/>
        <item x="60"/>
        <item x="97"/>
        <item x="92"/>
        <item x="67"/>
        <item x="101"/>
        <item x="104"/>
        <item x="14"/>
        <item x="70"/>
        <item x="49"/>
        <item x="80"/>
        <item x="46"/>
        <item x="96"/>
        <item x="9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ll number" fld="0" subtotal="count" baseField="0" baseItem="0"/>
    <dataField name="Sum of Purchase Amount" fld="8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Selected rep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89:A90" firstHeaderRow="1" firstDataRow="1" firstDataCol="1"/>
  <pivotFields count="1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4">
        <item x="5"/>
        <item x="8"/>
        <item x="7"/>
        <item x="0"/>
        <item x="10"/>
        <item x="4"/>
        <item x="6"/>
        <item x="1"/>
        <item x="2"/>
        <item x="3"/>
        <item x="11"/>
        <item x="12"/>
        <item x="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axis="axisRow" compact="0" multipleItemSelectionAllowed="1" showAll="0">
      <items count="6">
        <item h="1" x="2"/>
        <item h="1" x="1"/>
        <item h="1" x="4"/>
        <item h="1" x="3"/>
        <item x="0"/>
        <item t="default"/>
      </items>
    </pivotField>
    <pivotField compact="0" numFmtId="186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compact="0" showAll="0">
      <items count="108">
        <item x="88"/>
        <item x="65"/>
        <item x="3"/>
        <item x="50"/>
        <item x="13"/>
        <item x="78"/>
        <item x="30"/>
        <item x="79"/>
        <item x="15"/>
        <item x="87"/>
        <item x="17"/>
        <item x="4"/>
        <item x="37"/>
        <item x="105"/>
        <item x="52"/>
        <item x="56"/>
        <item x="73"/>
        <item x="64"/>
        <item x="100"/>
        <item x="77"/>
        <item x="45"/>
        <item x="102"/>
        <item x="28"/>
        <item x="57"/>
        <item x="85"/>
        <item x="82"/>
        <item x="9"/>
        <item x="43"/>
        <item x="25"/>
        <item x="68"/>
        <item x="48"/>
        <item x="36"/>
        <item x="81"/>
        <item x="5"/>
        <item x="53"/>
        <item x="23"/>
        <item x="39"/>
        <item x="2"/>
        <item x="12"/>
        <item x="8"/>
        <item x="63"/>
        <item x="18"/>
        <item x="61"/>
        <item x="75"/>
        <item x="103"/>
        <item x="38"/>
        <item x="24"/>
        <item x="91"/>
        <item x="95"/>
        <item x="59"/>
        <item x="33"/>
        <item x="90"/>
        <item x="66"/>
        <item x="44"/>
        <item x="19"/>
        <item x="76"/>
        <item x="11"/>
        <item x="51"/>
        <item x="62"/>
        <item x="71"/>
        <item x="72"/>
        <item x="7"/>
        <item x="10"/>
        <item x="27"/>
        <item x="22"/>
        <item x="54"/>
        <item x="74"/>
        <item x="99"/>
        <item x="93"/>
        <item x="83"/>
        <item x="31"/>
        <item x="26"/>
        <item x="55"/>
        <item x="29"/>
        <item x="41"/>
        <item x="0"/>
        <item x="86"/>
        <item x="58"/>
        <item x="32"/>
        <item x="1"/>
        <item x="40"/>
        <item x="21"/>
        <item x="89"/>
        <item x="98"/>
        <item x="6"/>
        <item x="69"/>
        <item x="106"/>
        <item x="34"/>
        <item x="47"/>
        <item x="42"/>
        <item x="84"/>
        <item x="20"/>
        <item x="35"/>
        <item x="16"/>
        <item x="60"/>
        <item x="97"/>
        <item x="92"/>
        <item x="67"/>
        <item x="101"/>
        <item x="104"/>
        <item x="14"/>
        <item x="70"/>
        <item x="49"/>
        <item x="80"/>
        <item x="46"/>
        <item x="96"/>
        <item x="94"/>
        <item t="default"/>
      </items>
    </pivotField>
    <pivotField compact="0" showAll="0">
      <items count="44">
        <item x="28"/>
        <item x="36"/>
        <item x="41"/>
        <item x="33"/>
        <item x="31"/>
        <item x="39"/>
        <item x="40"/>
        <item x="38"/>
        <item x="37"/>
        <item x="42"/>
        <item x="32"/>
        <item x="29"/>
        <item x="26"/>
        <item x="15"/>
        <item x="30"/>
        <item x="24"/>
        <item x="21"/>
        <item x="25"/>
        <item x="27"/>
        <item x="34"/>
        <item x="3"/>
        <item x="1"/>
        <item x="35"/>
        <item x="22"/>
        <item x="23"/>
        <item x="16"/>
        <item x="7"/>
        <item x="8"/>
        <item x="6"/>
        <item x="20"/>
        <item x="11"/>
        <item x="10"/>
        <item x="9"/>
        <item x="17"/>
        <item x="18"/>
        <item x="12"/>
        <item x="5"/>
        <item x="14"/>
        <item x="19"/>
        <item x="2"/>
        <item x="4"/>
        <item x="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7">
        <item x="4"/>
        <item x="5"/>
        <item x="3"/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defaultSubtotal="0" showAll="0">
      <items count="184">
        <item x="2"/>
        <item x="142"/>
        <item x="156"/>
        <item x="168"/>
        <item x="18"/>
        <item x="34"/>
        <item x="45"/>
        <item x="59"/>
        <item x="73"/>
        <item x="90"/>
        <item x="109"/>
        <item x="125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</items>
    </pivotField>
  </pivotFields>
  <rowFields count="1">
    <field x="6"/>
  </rowFields>
  <rowItems count="1">
    <i>
      <x v="4"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caller coun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94:F99" firstHeaderRow="1" firstDataRow="2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numFmtId="18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all number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presentative" sourceName="Representative">
  <pivotTables>
    <pivotTable tabId="7" name="Selected rep"/>
    <pivotTable tabId="7" name="Monthly trend"/>
    <pivotTable tabId="7" name="weekday trend"/>
    <pivotTable tabId="7" name="rating"/>
    <pivotTable tabId="7" name="rep pivot"/>
  </pivotTables>
  <data>
    <tabular pivotCacheId="1">
      <items count="5">
        <i x="2" s="0"/>
        <i x="1" s="0"/>
        <i x="4" s="0"/>
        <i x="3" s="0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presentative" cache="Slicer_Representative" caption="Representative" style="SlicerStyleDark1" rowHeight="225425"/>
</slicers>
</file>

<file path=xl/tables/table1.xml><?xml version="1.0" encoding="utf-8"?>
<table xmlns="http://schemas.openxmlformats.org/spreadsheetml/2006/main" id="1" name="calls" displayName="calls" ref="B3:P1003" totalsRowShown="0">
  <autoFilter xmlns:etc="http://www.wps.cn/officeDocument/2017/etCustomData" ref="B3:P1003" etc:filterBottomFollowUsedRange="0"/>
  <tableColumns count="15">
    <tableColumn id="1" name="Call number"/>
    <tableColumn id="2" name="Customer ID"/>
    <tableColumn id="12" name="Gender" dataDxfId="74">
      <calculatedColumnFormula array="1">_xlfn.XLOOKUP(C4,customers[Customer ID],customers[Gender],"")</calculatedColumnFormula>
    </tableColumn>
    <tableColumn id="13" name="Age" dataDxfId="75">
      <calculatedColumnFormula array="1">_xlfn.XLOOKUP(C4,customers[Customer ID],customers[Age],"")</calculatedColumnFormula>
    </tableColumn>
    <tableColumn id="14" name="City" dataDxfId="76">
      <calculatedColumnFormula array="1">_xlfn.XLOOKUP(C4,customers[Customer ID],customers[City],"")</calculatedColumnFormula>
    </tableColumn>
    <tableColumn id="3" name="Duration"/>
    <tableColumn id="4" name="Representative" dataDxfId="77"/>
    <tableColumn id="5" name="Date of Call" dataDxfId="78"/>
    <tableColumn id="6" name="Purchase Amount"/>
    <tableColumn id="7" name="Satisfaction Rating"/>
    <tableColumn id="8" name="FY" dataDxfId="79"/>
    <tableColumn id="9" name="Day of week" dataDxfId="80"/>
    <tableColumn id="10" name="Duration Bucket" dataDxfId="81"/>
    <tableColumn id="11" name="Rating rounded" dataDxfId="82"/>
    <tableColumn id="15" name="5* Calls" dataDxfId="83">
      <calculatedColumnFormula>COUNTIF(O:O,5)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U3:X18" totalsRowShown="0">
  <autoFilter xmlns:etc="http://www.wps.cn/officeDocument/2017/etCustomData" ref="U3:X18" etc:filterBottomFollowUsedRange="0"/>
  <tableColumns count="4">
    <tableColumn id="1" name="Customer ID" dataDxfId="84"/>
    <tableColumn id="2" name="Gender" dataDxfId="85"/>
    <tableColumn id="3" name="Age" dataDxfId="86"/>
    <tableColumn id="4" name="City" dataDxfId="8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O154" totalsRowShown="0">
  <autoFilter xmlns:etc="http://www.wps.cn/officeDocument/2017/etCustomData" ref="A1:O154" etc:filterBottomFollowUsedRange="0"/>
  <tableColumns count="15">
    <tableColumn id="1" name="Call number"/>
    <tableColumn id="2" name="Customer ID"/>
    <tableColumn id="3" name="Gender"/>
    <tableColumn id="4" name="Age"/>
    <tableColumn id="5" name="City"/>
    <tableColumn id="6" name="Duration"/>
    <tableColumn id="7" name="Representative"/>
    <tableColumn id="8" name="Date of Call" dataDxfId="88"/>
    <tableColumn id="9" name="Purchase Amount"/>
    <tableColumn id="10" name="Satisfaction Rating"/>
    <tableColumn id="11" name="FY"/>
    <tableColumn id="12" name="Day of week"/>
    <tableColumn id="13" name="Duration Bucket"/>
    <tableColumn id="14" name="Rating rounded"/>
    <tableColumn id="15" name="5* Cal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N188"/>
  <sheetViews>
    <sheetView zoomScale="44" zoomScaleNormal="44" workbookViewId="0">
      <selection activeCell="A15" sqref="A15"/>
    </sheetView>
  </sheetViews>
  <sheetFormatPr defaultColWidth="8.8" defaultRowHeight="13.8"/>
  <cols>
    <col min="1" max="5" width="26.2"/>
    <col min="6" max="8" width="15.6"/>
    <col min="9" max="9" width="10.8"/>
    <col min="10" max="13" width="12.4"/>
    <col min="14" max="14" width="12.5"/>
    <col min="15" max="150" width="12.4"/>
    <col min="151" max="151" width="10.8"/>
    <col min="152" max="3998" width="26.2"/>
    <col min="3999" max="3999" width="23.7"/>
    <col min="4000" max="4000" width="19.6"/>
    <col min="4001" max="4001" width="27.2"/>
    <col min="4002" max="4002" width="31.2"/>
  </cols>
  <sheetData>
    <row r="4" spans="1: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>
      <c r="A5">
        <v>1000</v>
      </c>
      <c r="B5" s="58">
        <v>89850</v>
      </c>
      <c r="C5" s="59">
        <v>96623</v>
      </c>
      <c r="D5">
        <v>307</v>
      </c>
      <c r="E5" s="60">
        <v>3.8854</v>
      </c>
    </row>
    <row r="14" spans="1:5">
      <c r="A14" t="s">
        <v>0</v>
      </c>
      <c r="B14" t="s">
        <v>1</v>
      </c>
      <c r="C14" t="s">
        <v>2</v>
      </c>
      <c r="D14" t="s">
        <v>3</v>
      </c>
      <c r="E14" t="s">
        <v>4</v>
      </c>
    </row>
    <row r="15" spans="1:5">
      <c r="A15">
        <v>200</v>
      </c>
      <c r="B15">
        <v>18209</v>
      </c>
      <c r="C15" s="59">
        <v>20104</v>
      </c>
      <c r="D15">
        <v>307</v>
      </c>
      <c r="E15" s="60">
        <v>3.8825</v>
      </c>
    </row>
    <row r="29" spans="1:3">
      <c r="A29" t="s">
        <v>5</v>
      </c>
      <c r="B29" t="s">
        <v>0</v>
      </c>
      <c r="C29" t="s">
        <v>6</v>
      </c>
    </row>
    <row r="30" spans="1:3">
      <c r="A30" t="s">
        <v>7</v>
      </c>
      <c r="B30">
        <v>6</v>
      </c>
      <c r="C30">
        <v>6</v>
      </c>
    </row>
    <row r="31" spans="1:3">
      <c r="A31" t="s">
        <v>8</v>
      </c>
      <c r="B31">
        <v>7</v>
      </c>
      <c r="C31">
        <v>7</v>
      </c>
    </row>
    <row r="32" spans="1:3">
      <c r="A32" t="s">
        <v>9</v>
      </c>
      <c r="B32">
        <v>24</v>
      </c>
      <c r="C32">
        <v>24</v>
      </c>
    </row>
    <row r="33" spans="1:3">
      <c r="A33" t="s">
        <v>10</v>
      </c>
      <c r="B33">
        <v>12</v>
      </c>
      <c r="C33">
        <v>12</v>
      </c>
    </row>
    <row r="34" spans="1:3">
      <c r="A34" t="s">
        <v>11</v>
      </c>
      <c r="B34">
        <v>5</v>
      </c>
      <c r="C34">
        <v>5</v>
      </c>
    </row>
    <row r="35" spans="1:3">
      <c r="A35" t="s">
        <v>12</v>
      </c>
      <c r="B35">
        <v>6</v>
      </c>
      <c r="C35">
        <v>6</v>
      </c>
    </row>
    <row r="36" spans="1:3">
      <c r="A36" t="s">
        <v>13</v>
      </c>
      <c r="B36">
        <v>3</v>
      </c>
      <c r="C36">
        <v>3</v>
      </c>
    </row>
    <row r="37" spans="1:3">
      <c r="A37" t="s">
        <v>14</v>
      </c>
      <c r="B37">
        <v>2</v>
      </c>
      <c r="C37">
        <v>2</v>
      </c>
    </row>
    <row r="38" spans="1:3">
      <c r="A38" t="s">
        <v>15</v>
      </c>
      <c r="B38">
        <v>8</v>
      </c>
      <c r="C38">
        <v>8</v>
      </c>
    </row>
    <row r="39" spans="1:3">
      <c r="A39" t="s">
        <v>16</v>
      </c>
      <c r="B39">
        <v>14</v>
      </c>
      <c r="C39">
        <v>14</v>
      </c>
    </row>
    <row r="40" spans="1:3">
      <c r="A40" t="s">
        <v>17</v>
      </c>
      <c r="B40">
        <v>7</v>
      </c>
      <c r="C40">
        <v>7</v>
      </c>
    </row>
    <row r="41" spans="1:3">
      <c r="A41" t="s">
        <v>18</v>
      </c>
      <c r="B41">
        <v>3</v>
      </c>
      <c r="C41">
        <v>3</v>
      </c>
    </row>
    <row r="42" spans="1:3">
      <c r="A42" t="s">
        <v>19</v>
      </c>
      <c r="B42">
        <v>97</v>
      </c>
      <c r="C42">
        <v>97</v>
      </c>
    </row>
    <row r="55" spans="1:2">
      <c r="A55" t="s">
        <v>20</v>
      </c>
      <c r="B55" t="s">
        <v>0</v>
      </c>
    </row>
    <row r="56" spans="1:2">
      <c r="A56" t="s">
        <v>21</v>
      </c>
      <c r="B56">
        <v>27</v>
      </c>
    </row>
    <row r="57" spans="1:2">
      <c r="A57" t="s">
        <v>22</v>
      </c>
      <c r="B57">
        <v>22</v>
      </c>
    </row>
    <row r="58" spans="1:2">
      <c r="A58" t="s">
        <v>23</v>
      </c>
      <c r="B58">
        <v>27</v>
      </c>
    </row>
    <row r="59" spans="1:2">
      <c r="A59" t="s">
        <v>24</v>
      </c>
      <c r="B59">
        <v>27</v>
      </c>
    </row>
    <row r="60" spans="1:2">
      <c r="A60" t="s">
        <v>25</v>
      </c>
      <c r="B60">
        <v>27</v>
      </c>
    </row>
    <row r="61" spans="1:2">
      <c r="A61" t="s">
        <v>26</v>
      </c>
      <c r="B61">
        <v>32</v>
      </c>
    </row>
    <row r="62" spans="1:2">
      <c r="A62" t="s">
        <v>27</v>
      </c>
      <c r="B62">
        <v>38</v>
      </c>
    </row>
    <row r="63" spans="1:2">
      <c r="A63" t="s">
        <v>19</v>
      </c>
      <c r="B63">
        <v>200</v>
      </c>
    </row>
    <row r="75" spans="1:9">
      <c r="E75" t="s">
        <v>28</v>
      </c>
      <c r="G75" t="s">
        <v>29</v>
      </c>
      <c r="H75" t="str">
        <f>A90</f>
        <v>R05</v>
      </c>
    </row>
    <row r="76" spans="1:9">
      <c r="E76" t="s">
        <v>30</v>
      </c>
      <c r="F76" t="s">
        <v>31</v>
      </c>
      <c r="G76" t="s">
        <v>32</v>
      </c>
      <c r="H76" t="s">
        <v>33</v>
      </c>
      <c r="I76" t="s">
        <v>34</v>
      </c>
    </row>
    <row r="77" spans="1:9">
      <c r="A77" t="s">
        <v>35</v>
      </c>
      <c r="B77" t="s">
        <v>0</v>
      </c>
      <c r="C77" t="s">
        <v>2</v>
      </c>
      <c r="E77" t="str" cm="1">
        <f t="array" ref="E77:G81">A78:C82</f>
        <v>R01</v>
      </c>
      <c r="F77">
        <v>189</v>
      </c>
      <c r="G77" s="61">
        <v>18415</v>
      </c>
      <c r="H77" t="e">
        <f>IF(E77=$H$75,F77,NA())</f>
        <v>#N/A</v>
      </c>
      <c r="I77" t="e">
        <f>IF(E77=$H$75,G77,NA())</f>
        <v>#N/A</v>
      </c>
    </row>
    <row r="78" spans="1:9">
      <c r="A78" t="s">
        <v>36</v>
      </c>
      <c r="B78">
        <v>189</v>
      </c>
      <c r="C78" s="59">
        <v>18415</v>
      </c>
      <c r="E78" t="str">
        <v>R02</v>
      </c>
      <c r="F78">
        <v>218</v>
      </c>
      <c r="G78" s="61">
        <v>20581</v>
      </c>
      <c r="H78" t="e">
        <f>IF(E78=$H$75,F78,NA())</f>
        <v>#N/A</v>
      </c>
      <c r="I78" t="e">
        <f>IF(E78=$H$75,G78,NA())</f>
        <v>#N/A</v>
      </c>
    </row>
    <row r="79" spans="1:9">
      <c r="A79" t="s">
        <v>37</v>
      </c>
      <c r="B79">
        <v>218</v>
      </c>
      <c r="C79" s="59">
        <v>20581</v>
      </c>
      <c r="E79" t="str">
        <v>R03</v>
      </c>
      <c r="F79">
        <v>207</v>
      </c>
      <c r="G79" s="61">
        <v>20872</v>
      </c>
      <c r="H79" t="e">
        <f>IF(E79=$H$75,F79,NA())</f>
        <v>#N/A</v>
      </c>
      <c r="I79" t="e">
        <f>IF(E79=$H$75,G79,NA())</f>
        <v>#N/A</v>
      </c>
    </row>
    <row r="80" spans="1:9">
      <c r="A80" t="s">
        <v>38</v>
      </c>
      <c r="B80">
        <v>207</v>
      </c>
      <c r="C80" s="59">
        <v>20872</v>
      </c>
      <c r="E80" t="str">
        <v>R04</v>
      </c>
      <c r="F80">
        <v>186</v>
      </c>
      <c r="G80" s="61">
        <v>16651</v>
      </c>
      <c r="H80" t="e">
        <f>IF(E80=$H$75,F80,NA())</f>
        <v>#N/A</v>
      </c>
      <c r="I80" t="e">
        <f>IF(E80=$H$75,G80,NA())</f>
        <v>#N/A</v>
      </c>
    </row>
    <row r="81" spans="1:13">
      <c r="A81" t="s">
        <v>39</v>
      </c>
      <c r="B81">
        <v>186</v>
      </c>
      <c r="C81" s="59">
        <v>16651</v>
      </c>
      <c r="E81" t="str">
        <v>R05</v>
      </c>
      <c r="F81">
        <v>200</v>
      </c>
      <c r="G81" s="61">
        <v>20104</v>
      </c>
      <c r="H81">
        <f>IF(E81=$H$75,F81,NA())</f>
        <v>200</v>
      </c>
      <c r="I81">
        <f>IF(E81=$H$75,G81,NA())</f>
        <v>20104</v>
      </c>
    </row>
    <row r="82" spans="1:13">
      <c r="A82" t="s">
        <v>40</v>
      </c>
      <c r="B82">
        <v>200</v>
      </c>
      <c r="C82" s="59">
        <v>20104</v>
      </c>
    </row>
    <row r="83" spans="1:13">
      <c r="A83" t="s">
        <v>19</v>
      </c>
      <c r="B83">
        <v>1000</v>
      </c>
      <c r="C83" s="59">
        <v>96623</v>
      </c>
    </row>
    <row r="89" spans="1:13">
      <c r="A89" t="s">
        <v>35</v>
      </c>
    </row>
    <row r="90" spans="1:13">
      <c r="A90" t="s">
        <v>40</v>
      </c>
    </row>
    <row r="94" spans="1:13">
      <c r="C94" t="s">
        <v>0</v>
      </c>
      <c r="D94" t="s">
        <v>41</v>
      </c>
    </row>
    <row r="95" spans="1:13">
      <c r="C95" t="s">
        <v>42</v>
      </c>
      <c r="D95" t="s">
        <v>43</v>
      </c>
      <c r="E95" t="s">
        <v>44</v>
      </c>
      <c r="F95" t="s">
        <v>19</v>
      </c>
    </row>
    <row r="96" spans="1:13">
      <c r="C96" t="s">
        <v>45</v>
      </c>
      <c r="D96">
        <v>144</v>
      </c>
      <c r="E96">
        <v>132</v>
      </c>
      <c r="F96">
        <v>276</v>
      </c>
      <c r="M96" t="s">
        <v>46</v>
      </c>
    </row>
    <row r="97" spans="3:14">
      <c r="C97" t="s">
        <v>47</v>
      </c>
      <c r="D97">
        <v>326</v>
      </c>
      <c r="E97">
        <v>63</v>
      </c>
      <c r="F97">
        <v>389</v>
      </c>
    </row>
    <row r="98" spans="3:14">
      <c r="C98" t="s">
        <v>48</v>
      </c>
      <c r="D98">
        <v>129</v>
      </c>
      <c r="E98">
        <v>206</v>
      </c>
      <c r="F98">
        <v>335</v>
      </c>
      <c r="M98" t="s">
        <v>49</v>
      </c>
      <c r="N98" s="62">
        <f>A15/A5</f>
        <v>0.2</v>
      </c>
    </row>
    <row r="99" spans="3:14">
      <c r="C99" t="s">
        <v>19</v>
      </c>
      <c r="D99">
        <v>599</v>
      </c>
      <c r="E99">
        <v>401</v>
      </c>
      <c r="F99">
        <v>1000</v>
      </c>
      <c r="M99" t="s">
        <v>50</v>
      </c>
      <c r="N99">
        <f>_xlfn.XLOOKUP(A90,E77:E81,F77:F81)</f>
        <v>200</v>
      </c>
    </row>
    <row r="100" spans="3:14">
      <c r="M100" t="s">
        <v>51</v>
      </c>
      <c r="N100">
        <f>_xlfn.XLOOKUP(A90,E77:E81,G77:G81)</f>
        <v>20104</v>
      </c>
    </row>
    <row r="104" spans="3:14">
      <c r="M104" t="s">
        <v>52</v>
      </c>
      <c r="N104">
        <f>_xlfn.RANK.AVG(N99,F77:F81)</f>
        <v>3</v>
      </c>
    </row>
    <row r="105" spans="3:14">
      <c r="M105" t="s">
        <v>53</v>
      </c>
      <c r="N105">
        <f>_xlfn.RANK.AVG(N100,G77:G81)</f>
        <v>3</v>
      </c>
    </row>
    <row r="109" spans="3:14">
      <c r="M109" t="s">
        <v>54</v>
      </c>
    </row>
    <row r="110" spans="3:14">
      <c r="N110" t="str">
        <f>"% of calls:"&amp;TEXT(N98,"0%")</f>
        <v>% of calls:20%</v>
      </c>
    </row>
    <row r="111" spans="3:14">
      <c r="N111" t="str">
        <f>IF(COUNTA(A90:A94)&gt;1,"","Call rank:"&amp;N104)</f>
        <v>Call rank:3</v>
      </c>
    </row>
    <row r="112" spans="3:14">
      <c r="N112" t="str">
        <f>IF(COUNTA(A90:A94)&gt;1,"","Amount rank:"&amp;N105)</f>
        <v>Amount rank:3</v>
      </c>
    </row>
    <row r="116" ht="73.1" spans="2:14">
      <c r="B116" t="s">
        <v>55</v>
      </c>
      <c r="C116" t="s">
        <v>56</v>
      </c>
      <c r="M116" t="s">
        <v>57</v>
      </c>
      <c r="N116" t="str">
        <f>IF(COUNTA(A90:A94)&gt;1,"",_xlfn.XLOOKUP(A90,Assets!I6:I10,Assets!J6:J10))</f>
        <v>=DISPIMG("ID_EC911822DCF444EC8A14DF6B7BA76BC9",1)</v>
      </c>
    </row>
    <row r="117" spans="2:14">
      <c r="B117">
        <v>2</v>
      </c>
      <c r="C117">
        <v>10</v>
      </c>
    </row>
    <row r="118" spans="2:14">
      <c r="B118">
        <v>3</v>
      </c>
      <c r="C118">
        <v>44</v>
      </c>
    </row>
    <row r="119" spans="2:14">
      <c r="B119">
        <v>4</v>
      </c>
      <c r="C119">
        <v>95</v>
      </c>
    </row>
    <row r="120" spans="2:14">
      <c r="B120">
        <v>5</v>
      </c>
      <c r="C120">
        <v>51</v>
      </c>
    </row>
    <row r="121" spans="2:14">
      <c r="B121" t="s">
        <v>19</v>
      </c>
      <c r="C121">
        <v>200</v>
      </c>
    </row>
    <row r="143" spans="2:9">
      <c r="B143" t="s">
        <v>2</v>
      </c>
      <c r="D143" t="s">
        <v>35</v>
      </c>
    </row>
    <row r="144" spans="2:9">
      <c r="B144" t="s">
        <v>42</v>
      </c>
      <c r="C144" t="s">
        <v>58</v>
      </c>
      <c r="D144" t="s">
        <v>36</v>
      </c>
      <c r="E144" t="s">
        <v>37</v>
      </c>
      <c r="F144" t="s">
        <v>38</v>
      </c>
      <c r="G144" t="s">
        <v>39</v>
      </c>
      <c r="H144" t="s">
        <v>40</v>
      </c>
      <c r="I144" t="s">
        <v>19</v>
      </c>
    </row>
    <row r="145" spans="2:9">
      <c r="B145" t="s">
        <v>45</v>
      </c>
      <c r="D145">
        <v>5483</v>
      </c>
      <c r="E145">
        <v>6014</v>
      </c>
      <c r="F145">
        <v>4970</v>
      </c>
      <c r="G145">
        <v>3495</v>
      </c>
      <c r="H145">
        <v>6099</v>
      </c>
      <c r="I145">
        <v>26061</v>
      </c>
    </row>
    <row r="146" spans="2:9">
      <c r="C146" t="s">
        <v>59</v>
      </c>
      <c r="D146" s="63">
        <v>891</v>
      </c>
      <c r="E146" s="63">
        <v>1332</v>
      </c>
      <c r="F146" s="63">
        <v>1282</v>
      </c>
      <c r="G146" s="63">
        <v>739</v>
      </c>
      <c r="H146" s="63">
        <v>560</v>
      </c>
      <c r="I146" s="63">
        <v>4804</v>
      </c>
    </row>
    <row r="147" spans="2:9">
      <c r="C147" t="s">
        <v>60</v>
      </c>
      <c r="D147" s="63">
        <v>1991</v>
      </c>
      <c r="E147" s="63">
        <v>1886</v>
      </c>
      <c r="F147" s="63">
        <v>1206</v>
      </c>
      <c r="G147" s="63">
        <v>884</v>
      </c>
      <c r="H147" s="63">
        <v>1722</v>
      </c>
      <c r="I147" s="63">
        <v>7689</v>
      </c>
    </row>
    <row r="148" spans="2:9">
      <c r="C148" t="s">
        <v>61</v>
      </c>
      <c r="D148" s="63">
        <v>1163</v>
      </c>
      <c r="E148" s="63">
        <v>1180</v>
      </c>
      <c r="F148" s="63">
        <v>1616</v>
      </c>
      <c r="G148" s="63">
        <v>1043</v>
      </c>
      <c r="H148" s="63">
        <v>1747</v>
      </c>
      <c r="I148" s="63">
        <v>6749</v>
      </c>
    </row>
    <row r="149" spans="2:9">
      <c r="C149" t="s">
        <v>62</v>
      </c>
      <c r="D149" s="63">
        <v>1438</v>
      </c>
      <c r="E149" s="63">
        <v>1616</v>
      </c>
      <c r="F149" s="63">
        <v>866</v>
      </c>
      <c r="G149" s="63">
        <v>829</v>
      </c>
      <c r="H149" s="63">
        <v>2070</v>
      </c>
      <c r="I149" s="63">
        <v>6819</v>
      </c>
    </row>
    <row r="150" spans="2:9">
      <c r="B150" t="s">
        <v>47</v>
      </c>
      <c r="D150" s="63">
        <v>7024</v>
      </c>
      <c r="E150" s="63">
        <v>7030</v>
      </c>
      <c r="F150" s="63">
        <v>8482</v>
      </c>
      <c r="G150" s="63">
        <v>7379</v>
      </c>
      <c r="H150" s="63">
        <v>7934</v>
      </c>
      <c r="I150" s="63">
        <v>37849</v>
      </c>
    </row>
    <row r="151" spans="2:9">
      <c r="C151" t="s">
        <v>63</v>
      </c>
      <c r="D151" s="63">
        <v>1233</v>
      </c>
      <c r="E151" s="63">
        <v>223</v>
      </c>
      <c r="F151" s="63">
        <v>1680</v>
      </c>
      <c r="G151" s="63">
        <v>990</v>
      </c>
      <c r="H151" s="63">
        <v>1508</v>
      </c>
      <c r="I151" s="63">
        <v>5634</v>
      </c>
    </row>
    <row r="152" spans="2:9">
      <c r="C152" t="s">
        <v>64</v>
      </c>
      <c r="D152" s="63">
        <v>1598</v>
      </c>
      <c r="E152" s="63">
        <v>1907</v>
      </c>
      <c r="F152" s="63">
        <v>869</v>
      </c>
      <c r="G152" s="63">
        <v>1426</v>
      </c>
      <c r="H152" s="63">
        <v>1416</v>
      </c>
      <c r="I152" s="63">
        <v>7216</v>
      </c>
    </row>
    <row r="153" spans="2:9">
      <c r="C153" t="s">
        <v>65</v>
      </c>
      <c r="D153" s="63">
        <v>900</v>
      </c>
      <c r="E153" s="63">
        <v>1016</v>
      </c>
      <c r="F153" s="63">
        <v>960</v>
      </c>
      <c r="G153" s="63">
        <v>940</v>
      </c>
      <c r="H153" s="63">
        <v>1193</v>
      </c>
      <c r="I153" s="63">
        <v>5009</v>
      </c>
    </row>
    <row r="154" spans="2:9">
      <c r="C154" t="s">
        <v>66</v>
      </c>
      <c r="D154" s="63">
        <v>900</v>
      </c>
      <c r="E154" s="63">
        <v>1470</v>
      </c>
      <c r="F154" s="63">
        <v>1617</v>
      </c>
      <c r="G154" s="63">
        <v>1314</v>
      </c>
      <c r="H154" s="63">
        <v>941</v>
      </c>
      <c r="I154" s="63">
        <v>6242</v>
      </c>
    </row>
    <row r="155" spans="2:9">
      <c r="C155" t="s">
        <v>67</v>
      </c>
      <c r="D155" s="63">
        <v>1255</v>
      </c>
      <c r="E155" s="63">
        <v>516</v>
      </c>
      <c r="F155" s="63">
        <v>1874</v>
      </c>
      <c r="G155" s="63">
        <v>1863</v>
      </c>
      <c r="H155" s="63">
        <v>1722</v>
      </c>
      <c r="I155" s="63">
        <v>7230</v>
      </c>
    </row>
    <row r="156" spans="2:9">
      <c r="C156" t="s">
        <v>68</v>
      </c>
      <c r="D156" s="63">
        <v>1138</v>
      </c>
      <c r="E156" s="63">
        <v>1898</v>
      </c>
      <c r="F156" s="63">
        <v>1482</v>
      </c>
      <c r="G156" s="63">
        <v>846</v>
      </c>
      <c r="H156" s="63">
        <v>1154</v>
      </c>
      <c r="I156" s="63">
        <v>6518</v>
      </c>
    </row>
    <row r="157" spans="2:9">
      <c r="B157" t="s">
        <v>48</v>
      </c>
      <c r="D157" s="63">
        <v>5908</v>
      </c>
      <c r="E157" s="63">
        <v>7537</v>
      </c>
      <c r="F157" s="63">
        <v>7420</v>
      </c>
      <c r="G157" s="63">
        <v>5777</v>
      </c>
      <c r="H157" s="63">
        <v>6071</v>
      </c>
      <c r="I157" s="63">
        <v>32713</v>
      </c>
    </row>
    <row r="158" spans="2:9">
      <c r="C158" t="s">
        <v>69</v>
      </c>
      <c r="D158" s="63">
        <v>1655</v>
      </c>
      <c r="E158" s="63">
        <v>805</v>
      </c>
      <c r="F158" s="63">
        <v>2263</v>
      </c>
      <c r="G158" s="63">
        <v>987</v>
      </c>
      <c r="H158" s="63">
        <v>1075</v>
      </c>
      <c r="I158" s="63">
        <v>6785</v>
      </c>
    </row>
    <row r="159" spans="2:9">
      <c r="C159" t="s">
        <v>70</v>
      </c>
      <c r="D159" s="63">
        <v>1104</v>
      </c>
      <c r="E159" s="63">
        <v>2280</v>
      </c>
      <c r="F159" s="63">
        <v>1445</v>
      </c>
      <c r="G159" s="63">
        <v>1722</v>
      </c>
      <c r="H159" s="63">
        <v>1196</v>
      </c>
      <c r="I159" s="63">
        <v>7747</v>
      </c>
    </row>
    <row r="160" spans="2:9">
      <c r="C160" t="s">
        <v>71</v>
      </c>
      <c r="D160" s="63">
        <v>372</v>
      </c>
      <c r="E160" s="63">
        <v>1818</v>
      </c>
      <c r="F160" s="63">
        <v>1346</v>
      </c>
      <c r="G160" s="63">
        <v>1156</v>
      </c>
      <c r="H160" s="63">
        <v>1484</v>
      </c>
      <c r="I160" s="63">
        <v>6176</v>
      </c>
    </row>
    <row r="161" spans="1:9">
      <c r="C161" t="s">
        <v>72</v>
      </c>
      <c r="D161" s="63">
        <v>1415</v>
      </c>
      <c r="E161" s="63">
        <v>1271</v>
      </c>
      <c r="F161" s="63">
        <v>1214</v>
      </c>
      <c r="G161" s="63">
        <v>1135</v>
      </c>
      <c r="H161" s="63">
        <v>1566</v>
      </c>
      <c r="I161" s="63">
        <v>6601</v>
      </c>
    </row>
    <row r="162" spans="1:9">
      <c r="C162" t="s">
        <v>73</v>
      </c>
      <c r="D162" s="63">
        <v>1362</v>
      </c>
      <c r="E162" s="63">
        <v>1363</v>
      </c>
      <c r="F162" s="63">
        <v>1152</v>
      </c>
      <c r="G162" s="63">
        <v>777</v>
      </c>
      <c r="H162" s="63">
        <v>750</v>
      </c>
      <c r="I162" s="63">
        <v>5404</v>
      </c>
    </row>
    <row r="171" spans="1:9">
      <c r="A171" s="64"/>
      <c r="B171" s="65"/>
      <c r="C171" s="66"/>
    </row>
    <row r="172" spans="1:9">
      <c r="A172" s="67"/>
      <c r="B172" s="68"/>
      <c r="C172" s="69"/>
    </row>
    <row r="173" spans="1:9">
      <c r="A173" s="67"/>
      <c r="B173" s="68"/>
      <c r="C173" s="69"/>
    </row>
    <row r="174" spans="1:9">
      <c r="A174" s="67"/>
      <c r="B174" s="68"/>
      <c r="C174" s="69"/>
    </row>
    <row r="175" spans="1:9">
      <c r="A175" s="67"/>
      <c r="B175" s="68"/>
      <c r="C175" s="69"/>
    </row>
    <row r="176" spans="1:9">
      <c r="A176" s="67"/>
      <c r="B176" s="68"/>
      <c r="C176" s="69"/>
    </row>
    <row r="177" spans="1:3">
      <c r="A177" s="67"/>
      <c r="B177" s="68"/>
      <c r="C177" s="69"/>
    </row>
    <row r="178" spans="1:3">
      <c r="A178" s="67"/>
      <c r="B178" s="68"/>
      <c r="C178" s="69"/>
    </row>
    <row r="179" spans="1:3">
      <c r="A179" s="67"/>
      <c r="B179" s="68"/>
      <c r="C179" s="69"/>
    </row>
    <row r="180" spans="1:3">
      <c r="A180" s="67"/>
      <c r="B180" s="68"/>
      <c r="C180" s="69"/>
    </row>
    <row r="181" spans="1:3">
      <c r="A181" s="67"/>
      <c r="B181" s="68"/>
      <c r="C181" s="69"/>
    </row>
    <row r="182" spans="1:3">
      <c r="A182" s="67"/>
      <c r="B182" s="68"/>
      <c r="C182" s="69"/>
    </row>
    <row r="183" spans="1:3">
      <c r="A183" s="67"/>
      <c r="B183" s="68"/>
      <c r="C183" s="69"/>
    </row>
    <row r="184" spans="1:3">
      <c r="A184" s="67"/>
      <c r="B184" s="68"/>
      <c r="C184" s="69"/>
    </row>
    <row r="185" spans="1:3">
      <c r="A185" s="67"/>
      <c r="B185" s="68"/>
      <c r="C185" s="69"/>
    </row>
    <row r="186" spans="1:3">
      <c r="A186" s="67"/>
      <c r="B186" s="68"/>
      <c r="C186" s="69"/>
    </row>
    <row r="187" spans="1:3">
      <c r="A187" s="67"/>
      <c r="B187" s="68"/>
      <c r="C187" s="69"/>
    </row>
    <row r="188" spans="1:3">
      <c r="A188" s="70"/>
      <c r="B188" s="71"/>
      <c r="C188" s="72"/>
    </row>
  </sheetData>
  <pageMargins left="0.75" right="0.75" top="1" bottom="1" header="0.5" footer="0.5"/>
  <headerFooter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1003"/>
  <sheetViews>
    <sheetView zoomScale="59" zoomScaleNormal="59" workbookViewId="0">
      <selection activeCell="U3" sqref="U3:X18"/>
    </sheetView>
  </sheetViews>
  <sheetFormatPr defaultColWidth="8.1" defaultRowHeight="13.8"/>
  <cols>
    <col min="1" max="1" width="2.925" customWidth="1"/>
    <col min="2" max="2" width="21.3416666666667" customWidth="1"/>
    <col min="3" max="4" width="20.4416666666667" customWidth="1"/>
    <col min="5" max="5" width="13.5" customWidth="1"/>
    <col min="6" max="6" width="14.5166666666667" customWidth="1"/>
    <col min="7" max="7" width="24.025" customWidth="1"/>
    <col min="8" max="8" width="25.8166666666667" customWidth="1"/>
    <col min="9" max="9" width="22.6833333333333" customWidth="1"/>
    <col min="10" max="10" width="20" customWidth="1"/>
    <col min="11" max="11" width="19.7" customWidth="1"/>
    <col min="12" max="12" width="13.95" customWidth="1"/>
    <col min="13" max="13" width="18.35" customWidth="1"/>
    <col min="14" max="14" width="17.6" customWidth="1"/>
    <col min="15" max="15" width="25.2166666666667" customWidth="1"/>
    <col min="16" max="16" width="11.0333333333333" customWidth="1"/>
    <col min="17" max="17" width="13.1666666666667" customWidth="1"/>
    <col min="20" max="20" width="9.56666666666667" customWidth="1"/>
  </cols>
  <sheetData>
    <row r="1" s="37" customFormat="1" ht="48" customHeight="1" spans="2:24">
      <c r="B1" s="38" t="s">
        <v>74</v>
      </c>
    </row>
    <row r="2" spans="2:24">
      <c r="R2" s="39"/>
    </row>
    <row r="3" spans="2:24">
      <c r="B3" s="40" t="s">
        <v>75</v>
      </c>
      <c r="C3" s="40" t="s">
        <v>58</v>
      </c>
      <c r="D3" s="40" t="s">
        <v>41</v>
      </c>
      <c r="E3" s="40" t="s">
        <v>76</v>
      </c>
      <c r="F3" s="40" t="s">
        <v>42</v>
      </c>
      <c r="G3" s="41" t="s">
        <v>77</v>
      </c>
      <c r="H3" s="42" t="s">
        <v>35</v>
      </c>
      <c r="I3" s="42" t="s">
        <v>78</v>
      </c>
      <c r="J3" s="40" t="s">
        <v>79</v>
      </c>
      <c r="K3" s="40" t="s">
        <v>80</v>
      </c>
      <c r="L3" t="s">
        <v>81</v>
      </c>
      <c r="M3" t="s">
        <v>20</v>
      </c>
      <c r="N3" t="s">
        <v>82</v>
      </c>
      <c r="O3" t="s">
        <v>55</v>
      </c>
      <c r="P3" t="s">
        <v>83</v>
      </c>
      <c r="U3" s="43" t="s">
        <v>58</v>
      </c>
      <c r="V3" s="44" t="s">
        <v>41</v>
      </c>
      <c r="W3" s="44" t="s">
        <v>76</v>
      </c>
      <c r="X3" s="45" t="s">
        <v>42</v>
      </c>
    </row>
    <row r="4" spans="2:24">
      <c r="B4" t="s">
        <v>84</v>
      </c>
      <c r="C4" t="s">
        <v>59</v>
      </c>
      <c r="D4" s="46" t="str" cm="1">
        <f t="array" ref="D4">_xlfn.XLOOKUP(C4,customers[Customer ID],customers[Gender],"")</f>
        <v>Male</v>
      </c>
      <c r="E4" s="46" cm="1">
        <f t="array" ref="E4">_xlfn.XLOOKUP(C4,customers[Customer ID],customers[Age],"")</f>
        <v>26</v>
      </c>
      <c r="F4" s="46" t="str" cm="1">
        <f t="array" ref="F4">_xlfn.XLOOKUP(C4,customers[Customer ID],customers[City],"")</f>
        <v>Cincinnati</v>
      </c>
      <c r="G4">
        <v>116</v>
      </c>
      <c r="H4" s="47" t="s">
        <v>40</v>
      </c>
      <c r="I4" s="48">
        <v>44927</v>
      </c>
      <c r="J4">
        <v>128</v>
      </c>
      <c r="K4">
        <v>4.9</v>
      </c>
      <c r="L4">
        <f>IF(MONTH(calls[[#This Row],[Date of Call]])&lt;=6,YEAR(calls[[#This Row],[Date of Call]]),YEAR(calls[[#This Row],[Date of Call]])+1)</f>
        <v>2023</v>
      </c>
      <c r="M4" t="str">
        <f>TEXT(calls[[#This Row],[Date of Call]],"DDDD")</f>
        <v>Sunday</v>
      </c>
      <c r="N4" t="str" cm="1">
        <f t="array" ref="N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">
        <f>ROUND(calls[[#This Row],[Satisfaction Rating]],0)</f>
        <v>5</v>
      </c>
      <c r="P4" s="46">
        <f t="shared" ref="P4:P67" si="0">COUNTIF(O:O,5)</f>
        <v>307</v>
      </c>
      <c r="U4" s="49" t="s">
        <v>69</v>
      </c>
      <c r="V4" s="50" t="s">
        <v>44</v>
      </c>
      <c r="W4" s="51">
        <v>41</v>
      </c>
      <c r="X4" s="52" t="s">
        <v>48</v>
      </c>
    </row>
    <row r="5" spans="2:24">
      <c r="B5" t="s">
        <v>85</v>
      </c>
      <c r="C5" t="s">
        <v>60</v>
      </c>
      <c r="D5" s="46" t="str" cm="1">
        <f t="array" ref="D5">_xlfn.XLOOKUP(C5,customers[Customer ID],customers[Gender],"")</f>
        <v>Male</v>
      </c>
      <c r="E5" s="46" cm="1">
        <f t="array" ref="E5">_xlfn.XLOOKUP(C5,customers[Customer ID],customers[Age],"")</f>
        <v>36</v>
      </c>
      <c r="F5" s="46" t="str" cm="1">
        <f t="array" ref="F5">_xlfn.XLOOKUP(C5,customers[Customer ID],customers[City],"")</f>
        <v>Cincinnati</v>
      </c>
      <c r="G5">
        <v>119</v>
      </c>
      <c r="H5" s="47" t="s">
        <v>40</v>
      </c>
      <c r="I5" s="48">
        <v>44927</v>
      </c>
      <c r="J5">
        <v>135</v>
      </c>
      <c r="K5">
        <v>2.9</v>
      </c>
      <c r="L5">
        <f>IF(MONTH(calls[[#This Row],[Date of Call]])&lt;=6,YEAR(calls[[#This Row],[Date of Call]]),YEAR(calls[[#This Row],[Date of Call]])+1)</f>
        <v>2023</v>
      </c>
      <c r="M5" t="str">
        <f>TEXT(calls[[#This Row],[Date of Call]],"DDDD")</f>
        <v>Sunday</v>
      </c>
      <c r="N5" t="str" cm="1">
        <f t="array" ref="N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">
        <f>ROUND(calls[[#This Row],[Satisfaction Rating]],0)</f>
        <v>3</v>
      </c>
      <c r="P5" s="53">
        <f t="shared" si="0"/>
        <v>307</v>
      </c>
      <c r="U5" s="49" t="s">
        <v>63</v>
      </c>
      <c r="V5" s="50" t="s">
        <v>44</v>
      </c>
      <c r="W5" s="51">
        <v>31</v>
      </c>
      <c r="X5" s="52" t="s">
        <v>47</v>
      </c>
    </row>
    <row r="6" spans="2:24">
      <c r="B6" t="s">
        <v>86</v>
      </c>
      <c r="C6" t="s">
        <v>70</v>
      </c>
      <c r="D6" s="46" t="str" cm="1">
        <f t="array" ref="D6">_xlfn.XLOOKUP(C6,customers[Customer ID],customers[Gender],"")</f>
        <v>Male</v>
      </c>
      <c r="E6" s="46" cm="1">
        <f t="array" ref="E6">_xlfn.XLOOKUP(C6,customers[Customer ID],customers[Age],"")</f>
        <v>37</v>
      </c>
      <c r="F6" s="46" t="str" cm="1">
        <f t="array" ref="F6">_xlfn.XLOOKUP(C6,customers[Customer ID],customers[City],"")</f>
        <v>Columbus</v>
      </c>
      <c r="G6">
        <v>68</v>
      </c>
      <c r="H6" s="47" t="s">
        <v>37</v>
      </c>
      <c r="I6" s="48">
        <v>44927</v>
      </c>
      <c r="J6">
        <v>66</v>
      </c>
      <c r="K6">
        <v>4.7</v>
      </c>
      <c r="L6">
        <f>IF(MONTH(calls[[#This Row],[Date of Call]])&lt;=6,YEAR(calls[[#This Row],[Date of Call]]),YEAR(calls[[#This Row],[Date of Call]])+1)</f>
        <v>2023</v>
      </c>
      <c r="M6" t="str">
        <f>TEXT(calls[[#This Row],[Date of Call]],"DDDD")</f>
        <v>Sunday</v>
      </c>
      <c r="N6" t="str" cm="1">
        <f t="array" ref="N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">
        <f>ROUND(calls[[#This Row],[Satisfaction Rating]],0)</f>
        <v>5</v>
      </c>
      <c r="P6" s="53">
        <f t="shared" si="0"/>
        <v>307</v>
      </c>
      <c r="U6" s="49" t="s">
        <v>59</v>
      </c>
      <c r="V6" s="50" t="s">
        <v>44</v>
      </c>
      <c r="W6" s="51">
        <v>26</v>
      </c>
      <c r="X6" s="52" t="s">
        <v>45</v>
      </c>
    </row>
    <row r="7" spans="2:24">
      <c r="B7" t="s">
        <v>87</v>
      </c>
      <c r="C7" t="s">
        <v>73</v>
      </c>
      <c r="D7" s="46" t="str" cm="1">
        <f t="array" ref="D7">_xlfn.XLOOKUP(C7,customers[Customer ID],customers[Gender],"")</f>
        <v>Female</v>
      </c>
      <c r="E7" s="46" cm="1">
        <f t="array" ref="E7">_xlfn.XLOOKUP(C7,customers[Customer ID],customers[Age],"")</f>
        <v>38</v>
      </c>
      <c r="F7" s="46" t="str" cm="1">
        <f t="array" ref="F7">_xlfn.XLOOKUP(C7,customers[Customer ID],customers[City],"")</f>
        <v>Columbus</v>
      </c>
      <c r="G7">
        <v>119</v>
      </c>
      <c r="H7" s="47" t="s">
        <v>37</v>
      </c>
      <c r="I7" s="48">
        <v>44927</v>
      </c>
      <c r="J7">
        <v>22</v>
      </c>
      <c r="K7">
        <v>2.9</v>
      </c>
      <c r="L7">
        <f>IF(MONTH(calls[[#This Row],[Date of Call]])&lt;=6,YEAR(calls[[#This Row],[Date of Call]]),YEAR(calls[[#This Row],[Date of Call]])+1)</f>
        <v>2023</v>
      </c>
      <c r="M7" t="str">
        <f>TEXT(calls[[#This Row],[Date of Call]],"DDDD")</f>
        <v>Sunday</v>
      </c>
      <c r="N7" t="str" cm="1">
        <f t="array" ref="N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">
        <f>ROUND(calls[[#This Row],[Satisfaction Rating]],0)</f>
        <v>3</v>
      </c>
      <c r="P7" s="53">
        <f t="shared" si="0"/>
        <v>307</v>
      </c>
      <c r="U7" s="49" t="s">
        <v>60</v>
      </c>
      <c r="V7" s="50" t="s">
        <v>44</v>
      </c>
      <c r="W7" s="51">
        <v>36</v>
      </c>
      <c r="X7" s="52" t="s">
        <v>45</v>
      </c>
    </row>
    <row r="8" spans="2:24">
      <c r="B8" t="s">
        <v>88</v>
      </c>
      <c r="C8" t="s">
        <v>61</v>
      </c>
      <c r="D8" s="46" t="str" cm="1">
        <f t="array" ref="D8">_xlfn.XLOOKUP(C8,customers[Customer ID],customers[Gender],"")</f>
        <v>Female</v>
      </c>
      <c r="E8" s="46" cm="1">
        <f t="array" ref="E8">_xlfn.XLOOKUP(C8,customers[Customer ID],customers[Age],"")</f>
        <v>30</v>
      </c>
      <c r="F8" s="46" t="str" cm="1">
        <f t="array" ref="F8">_xlfn.XLOOKUP(C8,customers[Customer ID],customers[City],"")</f>
        <v>Cincinnati</v>
      </c>
      <c r="G8">
        <v>128</v>
      </c>
      <c r="H8" s="47" t="s">
        <v>36</v>
      </c>
      <c r="I8" s="48">
        <v>44928</v>
      </c>
      <c r="J8">
        <v>31</v>
      </c>
      <c r="K8">
        <v>2.8</v>
      </c>
      <c r="L8">
        <f>IF(MONTH(calls[[#This Row],[Date of Call]])&lt;=6,YEAR(calls[[#This Row],[Date of Call]]),YEAR(calls[[#This Row],[Date of Call]])+1)</f>
        <v>2023</v>
      </c>
      <c r="M8" t="str">
        <f>TEXT(calls[[#This Row],[Date of Call]],"DDDD")</f>
        <v>Monday</v>
      </c>
      <c r="N8" t="str" cm="1">
        <f t="array" ref="N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">
        <f>ROUND(calls[[#This Row],[Satisfaction Rating]],0)</f>
        <v>3</v>
      </c>
      <c r="P8" s="53">
        <f t="shared" si="0"/>
        <v>307</v>
      </c>
      <c r="U8" s="49" t="s">
        <v>70</v>
      </c>
      <c r="V8" s="50" t="s">
        <v>44</v>
      </c>
      <c r="W8" s="51">
        <v>37</v>
      </c>
      <c r="X8" s="52" t="s">
        <v>48</v>
      </c>
    </row>
    <row r="9" spans="2:24">
      <c r="B9" t="s">
        <v>89</v>
      </c>
      <c r="C9" t="s">
        <v>61</v>
      </c>
      <c r="D9" s="46" t="str" cm="1">
        <f t="array" ref="D9">_xlfn.XLOOKUP(C9,customers[Customer ID],customers[Gender],"")</f>
        <v>Female</v>
      </c>
      <c r="E9" s="46" cm="1">
        <f t="array" ref="E9">_xlfn.XLOOKUP(C9,customers[Customer ID],customers[Age],"")</f>
        <v>30</v>
      </c>
      <c r="F9" s="46" t="str" cm="1">
        <f t="array" ref="F9">_xlfn.XLOOKUP(C9,customers[Customer ID],customers[City],"")</f>
        <v>Cincinnati</v>
      </c>
      <c r="G9">
        <v>49</v>
      </c>
      <c r="H9" s="47" t="s">
        <v>37</v>
      </c>
      <c r="I9" s="48">
        <v>44929</v>
      </c>
      <c r="J9">
        <v>135</v>
      </c>
      <c r="K9">
        <v>4.8</v>
      </c>
      <c r="L9">
        <f>IF(MONTH(calls[[#This Row],[Date of Call]])&lt;=6,YEAR(calls[[#This Row],[Date of Call]]),YEAR(calls[[#This Row],[Date of Call]])+1)</f>
        <v>2023</v>
      </c>
      <c r="M9" t="str">
        <f>TEXT(calls[[#This Row],[Date of Call]],"DDDD")</f>
        <v>Tuesday</v>
      </c>
      <c r="N9" t="str" cm="1">
        <f t="array" ref="N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">
        <f>ROUND(calls[[#This Row],[Satisfaction Rating]],0)</f>
        <v>5</v>
      </c>
      <c r="P9" s="53">
        <f t="shared" si="0"/>
        <v>307</v>
      </c>
      <c r="U9" s="49" t="s">
        <v>71</v>
      </c>
      <c r="V9" s="50" t="s">
        <v>44</v>
      </c>
      <c r="W9" s="51">
        <v>23</v>
      </c>
      <c r="X9" s="52" t="s">
        <v>48</v>
      </c>
    </row>
    <row r="10" spans="2:24">
      <c r="B10" t="s">
        <v>90</v>
      </c>
      <c r="C10" t="s">
        <v>64</v>
      </c>
      <c r="D10" s="46" t="str" cm="1">
        <f t="array" ref="D10">_xlfn.XLOOKUP(C10,customers[Customer ID],customers[Gender],"")</f>
        <v>Female</v>
      </c>
      <c r="E10" s="46" cm="1">
        <f t="array" ref="E10">_xlfn.XLOOKUP(C10,customers[Customer ID],customers[Age],"")</f>
        <v>22</v>
      </c>
      <c r="F10" s="46" t="str" cm="1">
        <f t="array" ref="F10">_xlfn.XLOOKUP(C10,customers[Customer ID],customers[City],"")</f>
        <v>Cleveland</v>
      </c>
      <c r="G10">
        <v>84</v>
      </c>
      <c r="H10" s="47" t="s">
        <v>40</v>
      </c>
      <c r="I10" s="48">
        <v>44929</v>
      </c>
      <c r="J10">
        <v>60</v>
      </c>
      <c r="K10">
        <v>4.7</v>
      </c>
      <c r="L10">
        <f>IF(MONTH(calls[[#This Row],[Date of Call]])&lt;=6,YEAR(calls[[#This Row],[Date of Call]]),YEAR(calls[[#This Row],[Date of Call]])+1)</f>
        <v>2023</v>
      </c>
      <c r="M10" t="str">
        <f>TEXT(calls[[#This Row],[Date of Call]],"DDDD")</f>
        <v>Tuesday</v>
      </c>
      <c r="N10" t="str" cm="1">
        <f t="array" ref="N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0">
        <f>ROUND(calls[[#This Row],[Satisfaction Rating]],0)</f>
        <v>5</v>
      </c>
      <c r="P10" s="53">
        <f t="shared" si="0"/>
        <v>307</v>
      </c>
      <c r="U10" s="49" t="s">
        <v>64</v>
      </c>
      <c r="V10" s="50" t="s">
        <v>43</v>
      </c>
      <c r="W10" s="51">
        <v>22</v>
      </c>
      <c r="X10" s="52" t="s">
        <v>47</v>
      </c>
    </row>
    <row r="11" spans="2:24">
      <c r="B11" t="s">
        <v>91</v>
      </c>
      <c r="C11" t="s">
        <v>59</v>
      </c>
      <c r="D11" s="46" t="str" cm="1">
        <f t="array" ref="D11">_xlfn.XLOOKUP(C11,customers[Customer ID],customers[Gender],"")</f>
        <v>Male</v>
      </c>
      <c r="E11" s="46" cm="1">
        <f t="array" ref="E11">_xlfn.XLOOKUP(C11,customers[Customer ID],customers[Age],"")</f>
        <v>26</v>
      </c>
      <c r="F11" s="46" t="str" cm="1">
        <f t="array" ref="F11">_xlfn.XLOOKUP(C11,customers[Customer ID],customers[City],"")</f>
        <v>Cincinnati</v>
      </c>
      <c r="G11">
        <v>103</v>
      </c>
      <c r="H11" s="47" t="s">
        <v>39</v>
      </c>
      <c r="I11" s="48">
        <v>44929</v>
      </c>
      <c r="J11">
        <v>148</v>
      </c>
      <c r="K11">
        <v>4.4</v>
      </c>
      <c r="L11">
        <f>IF(MONTH(calls[[#This Row],[Date of Call]])&lt;=6,YEAR(calls[[#This Row],[Date of Call]]),YEAR(calls[[#This Row],[Date of Call]])+1)</f>
        <v>2023</v>
      </c>
      <c r="M11" t="str">
        <f>TEXT(calls[[#This Row],[Date of Call]],"DDDD")</f>
        <v>Tuesday</v>
      </c>
      <c r="N11" t="str" cm="1">
        <f t="array" ref="N1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1">
        <f>ROUND(calls[[#This Row],[Satisfaction Rating]],0)</f>
        <v>4</v>
      </c>
      <c r="P11" s="53">
        <f t="shared" si="0"/>
        <v>307</v>
      </c>
      <c r="U11" s="49" t="s">
        <v>65</v>
      </c>
      <c r="V11" s="50" t="s">
        <v>43</v>
      </c>
      <c r="W11" s="51">
        <v>42</v>
      </c>
      <c r="X11" s="52" t="s">
        <v>47</v>
      </c>
    </row>
    <row r="12" spans="2:24">
      <c r="B12" t="s">
        <v>92</v>
      </c>
      <c r="C12" t="s">
        <v>70</v>
      </c>
      <c r="D12" s="46" t="str" cm="1">
        <f t="array" ref="D12">_xlfn.XLOOKUP(C12,customers[Customer ID],customers[Gender],"")</f>
        <v>Male</v>
      </c>
      <c r="E12" s="46" cm="1">
        <f t="array" ref="E12">_xlfn.XLOOKUP(C12,customers[Customer ID],customers[Age],"")</f>
        <v>37</v>
      </c>
      <c r="F12" s="46" t="str" cm="1">
        <f t="array" ref="F12">_xlfn.XLOOKUP(C12,customers[Customer ID],customers[City],"")</f>
        <v>Columbus</v>
      </c>
      <c r="G12">
        <v>31</v>
      </c>
      <c r="H12" s="47" t="s">
        <v>37</v>
      </c>
      <c r="I12" s="48">
        <v>44929</v>
      </c>
      <c r="J12">
        <v>135</v>
      </c>
      <c r="K12">
        <v>3.6</v>
      </c>
      <c r="L12">
        <f>IF(MONTH(calls[[#This Row],[Date of Call]])&lt;=6,YEAR(calls[[#This Row],[Date of Call]]),YEAR(calls[[#This Row],[Date of Call]])+1)</f>
        <v>2023</v>
      </c>
      <c r="M12" t="str">
        <f>TEXT(calls[[#This Row],[Date of Call]],"DDDD")</f>
        <v>Tuesday</v>
      </c>
      <c r="N12" t="str" cm="1">
        <f t="array" ref="N1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2">
        <f>ROUND(calls[[#This Row],[Satisfaction Rating]],0)</f>
        <v>4</v>
      </c>
      <c r="P12" s="53">
        <f t="shared" si="0"/>
        <v>307</v>
      </c>
      <c r="U12" s="49" t="s">
        <v>72</v>
      </c>
      <c r="V12" s="50" t="s">
        <v>43</v>
      </c>
      <c r="W12" s="51">
        <v>25</v>
      </c>
      <c r="X12" s="52" t="s">
        <v>48</v>
      </c>
    </row>
    <row r="13" spans="2:24">
      <c r="B13" t="s">
        <v>93</v>
      </c>
      <c r="C13" t="s">
        <v>66</v>
      </c>
      <c r="D13" s="46" t="str" cm="1">
        <f t="array" ref="D13">_xlfn.XLOOKUP(C13,customers[Customer ID],customers[Gender],"")</f>
        <v>Female</v>
      </c>
      <c r="E13" s="46" cm="1">
        <f t="array" ref="E13">_xlfn.XLOOKUP(C13,customers[Customer ID],customers[Age],"")</f>
        <v>30</v>
      </c>
      <c r="F13" s="46" t="str" cm="1">
        <f t="array" ref="F13">_xlfn.XLOOKUP(C13,customers[Customer ID],customers[City],"")</f>
        <v>Cleveland</v>
      </c>
      <c r="G13">
        <v>44</v>
      </c>
      <c r="H13" s="47" t="s">
        <v>38</v>
      </c>
      <c r="I13" s="48">
        <v>44929</v>
      </c>
      <c r="J13">
        <v>105</v>
      </c>
      <c r="K13">
        <v>2.9</v>
      </c>
      <c r="L13">
        <f>IF(MONTH(calls[[#This Row],[Date of Call]])&lt;=6,YEAR(calls[[#This Row],[Date of Call]]),YEAR(calls[[#This Row],[Date of Call]])+1)</f>
        <v>2023</v>
      </c>
      <c r="M13" t="str">
        <f>TEXT(calls[[#This Row],[Date of Call]],"DDDD")</f>
        <v>Tuesday</v>
      </c>
      <c r="N13" t="str" cm="1">
        <f t="array" ref="N1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3">
        <f>ROUND(calls[[#This Row],[Satisfaction Rating]],0)</f>
        <v>3</v>
      </c>
      <c r="P13" s="53">
        <f t="shared" si="0"/>
        <v>307</v>
      </c>
      <c r="U13" s="49" t="s">
        <v>66</v>
      </c>
      <c r="V13" s="50" t="s">
        <v>43</v>
      </c>
      <c r="W13" s="51">
        <v>30</v>
      </c>
      <c r="X13" s="52" t="s">
        <v>47</v>
      </c>
    </row>
    <row r="14" spans="2:24">
      <c r="B14" t="s">
        <v>94</v>
      </c>
      <c r="C14" t="s">
        <v>61</v>
      </c>
      <c r="D14" s="46" t="str" cm="1">
        <f t="array" ref="D14">_xlfn.XLOOKUP(C14,customers[Customer ID],customers[Gender],"")</f>
        <v>Female</v>
      </c>
      <c r="E14" s="46" cm="1">
        <f t="array" ref="E14">_xlfn.XLOOKUP(C14,customers[Customer ID],customers[Age],"")</f>
        <v>30</v>
      </c>
      <c r="F14" s="46" t="str" cm="1">
        <f t="array" ref="F14">_xlfn.XLOOKUP(C14,customers[Customer ID],customers[City],"")</f>
        <v>Cincinnati</v>
      </c>
      <c r="G14">
        <v>102</v>
      </c>
      <c r="H14" s="47" t="s">
        <v>37</v>
      </c>
      <c r="I14" s="48">
        <v>44929</v>
      </c>
      <c r="J14">
        <v>69</v>
      </c>
      <c r="K14">
        <v>4.9</v>
      </c>
      <c r="L14">
        <f>IF(MONTH(calls[[#This Row],[Date of Call]])&lt;=6,YEAR(calls[[#This Row],[Date of Call]]),YEAR(calls[[#This Row],[Date of Call]])+1)</f>
        <v>2023</v>
      </c>
      <c r="M14" t="str">
        <f>TEXT(calls[[#This Row],[Date of Call]],"DDDD")</f>
        <v>Tuesday</v>
      </c>
      <c r="N14" t="str" cm="1">
        <f t="array" ref="N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4">
        <f>ROUND(calls[[#This Row],[Satisfaction Rating]],0)</f>
        <v>5</v>
      </c>
      <c r="P14" s="53">
        <f t="shared" si="0"/>
        <v>307</v>
      </c>
      <c r="U14" s="49" t="s">
        <v>61</v>
      </c>
      <c r="V14" s="50" t="s">
        <v>43</v>
      </c>
      <c r="W14" s="51">
        <v>30</v>
      </c>
      <c r="X14" s="52" t="s">
        <v>45</v>
      </c>
    </row>
    <row r="15" spans="2:24">
      <c r="B15" t="s">
        <v>95</v>
      </c>
      <c r="C15" t="s">
        <v>67</v>
      </c>
      <c r="D15" s="46" t="str" cm="1">
        <f t="array" ref="D15">_xlfn.XLOOKUP(C15,customers[Customer ID],customers[Gender],"")</f>
        <v>Female</v>
      </c>
      <c r="E15" s="46" cm="1">
        <f t="array" ref="E15">_xlfn.XLOOKUP(C15,customers[Customer ID],customers[Age],"")</f>
        <v>37</v>
      </c>
      <c r="F15" s="46" t="str" cm="1">
        <f t="array" ref="F15">_xlfn.XLOOKUP(C15,customers[Customer ID],customers[City],"")</f>
        <v>Cleveland</v>
      </c>
      <c r="G15">
        <v>135</v>
      </c>
      <c r="H15" s="47" t="s">
        <v>40</v>
      </c>
      <c r="I15" s="48">
        <v>44929</v>
      </c>
      <c r="J15">
        <v>46</v>
      </c>
      <c r="K15">
        <v>3.4</v>
      </c>
      <c r="L15">
        <f>IF(MONTH(calls[[#This Row],[Date of Call]])&lt;=6,YEAR(calls[[#This Row],[Date of Call]]),YEAR(calls[[#This Row],[Date of Call]])+1)</f>
        <v>2023</v>
      </c>
      <c r="M15" t="str">
        <f>TEXT(calls[[#This Row],[Date of Call]],"DDDD")</f>
        <v>Tuesday</v>
      </c>
      <c r="N15" t="str" cm="1">
        <f t="array" ref="N1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5">
        <f>ROUND(calls[[#This Row],[Satisfaction Rating]],0)</f>
        <v>3</v>
      </c>
      <c r="P15" s="53">
        <f t="shared" si="0"/>
        <v>307</v>
      </c>
      <c r="U15" s="49" t="s">
        <v>62</v>
      </c>
      <c r="V15" s="50" t="s">
        <v>43</v>
      </c>
      <c r="W15" s="51">
        <v>28</v>
      </c>
      <c r="X15" s="52" t="s">
        <v>45</v>
      </c>
    </row>
    <row r="16" spans="2:24">
      <c r="B16" t="s">
        <v>96</v>
      </c>
      <c r="C16" t="s">
        <v>63</v>
      </c>
      <c r="D16" s="46" t="str" cm="1">
        <f t="array" ref="D16">_xlfn.XLOOKUP(C16,customers[Customer ID],customers[Gender],"")</f>
        <v>Male</v>
      </c>
      <c r="E16" s="46" cm="1">
        <f t="array" ref="E16">_xlfn.XLOOKUP(C16,customers[Customer ID],customers[Age],"")</f>
        <v>31</v>
      </c>
      <c r="F16" s="46" t="str" cm="1">
        <f t="array" ref="F16">_xlfn.XLOOKUP(C16,customers[Customer ID],customers[City],"")</f>
        <v>Cleveland</v>
      </c>
      <c r="G16">
        <v>98</v>
      </c>
      <c r="H16" s="47" t="s">
        <v>37</v>
      </c>
      <c r="I16" s="48">
        <v>44930</v>
      </c>
      <c r="J16">
        <v>108</v>
      </c>
      <c r="K16">
        <v>3.5</v>
      </c>
      <c r="L16">
        <f>IF(MONTH(calls[[#This Row],[Date of Call]])&lt;=6,YEAR(calls[[#This Row],[Date of Call]]),YEAR(calls[[#This Row],[Date of Call]])+1)</f>
        <v>2023</v>
      </c>
      <c r="M16" t="str">
        <f>TEXT(calls[[#This Row],[Date of Call]],"DDDD")</f>
        <v>Wednesday</v>
      </c>
      <c r="N16" t="str" cm="1">
        <f t="array" ref="N1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6">
        <f>ROUND(calls[[#This Row],[Satisfaction Rating]],0)</f>
        <v>4</v>
      </c>
      <c r="P16" s="53">
        <f t="shared" si="0"/>
        <v>307</v>
      </c>
      <c r="U16" s="49" t="s">
        <v>67</v>
      </c>
      <c r="V16" s="50" t="s">
        <v>43</v>
      </c>
      <c r="W16" s="51">
        <v>37</v>
      </c>
      <c r="X16" s="52" t="s">
        <v>47</v>
      </c>
    </row>
    <row r="17" spans="2:24">
      <c r="B17" t="s">
        <v>97</v>
      </c>
      <c r="C17" t="s">
        <v>66</v>
      </c>
      <c r="D17" s="46" t="str" cm="1">
        <f t="array" ref="D17">_xlfn.XLOOKUP(C17,customers[Customer ID],customers[Gender],"")</f>
        <v>Female</v>
      </c>
      <c r="E17" s="46" cm="1">
        <f t="array" ref="E17">_xlfn.XLOOKUP(C17,customers[Customer ID],customers[Age],"")</f>
        <v>30</v>
      </c>
      <c r="F17" s="46" t="str" cm="1">
        <f t="array" ref="F17">_xlfn.XLOOKUP(C17,customers[Customer ID],customers[City],"")</f>
        <v>Cleveland</v>
      </c>
      <c r="G17">
        <v>139</v>
      </c>
      <c r="H17" s="47" t="s">
        <v>37</v>
      </c>
      <c r="I17" s="48">
        <v>44930</v>
      </c>
      <c r="J17">
        <v>96</v>
      </c>
      <c r="K17">
        <v>4</v>
      </c>
      <c r="L17">
        <f>IF(MONTH(calls[[#This Row],[Date of Call]])&lt;=6,YEAR(calls[[#This Row],[Date of Call]]),YEAR(calls[[#This Row],[Date of Call]])+1)</f>
        <v>2023</v>
      </c>
      <c r="M17" t="str">
        <f>TEXT(calls[[#This Row],[Date of Call]],"DDDD")</f>
        <v>Wednesday</v>
      </c>
      <c r="N17" t="str" cm="1">
        <f t="array" ref="N1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7">
        <f>ROUND(calls[[#This Row],[Satisfaction Rating]],0)</f>
        <v>4</v>
      </c>
      <c r="P17" s="53">
        <f t="shared" si="0"/>
        <v>307</v>
      </c>
      <c r="U17" s="49" t="s">
        <v>73</v>
      </c>
      <c r="V17" s="50" t="s">
        <v>43</v>
      </c>
      <c r="W17" s="51">
        <v>38</v>
      </c>
      <c r="X17" s="52" t="s">
        <v>48</v>
      </c>
    </row>
    <row r="18" spans="2:24">
      <c r="B18" t="s">
        <v>98</v>
      </c>
      <c r="C18" t="s">
        <v>67</v>
      </c>
      <c r="D18" s="46" t="str" cm="1">
        <f t="array" ref="D18">_xlfn.XLOOKUP(C18,customers[Customer ID],customers[Gender],"")</f>
        <v>Female</v>
      </c>
      <c r="E18" s="46" cm="1">
        <f t="array" ref="E18">_xlfn.XLOOKUP(C18,customers[Customer ID],customers[Age],"")</f>
        <v>37</v>
      </c>
      <c r="F18" s="46" t="str" cm="1">
        <f t="array" ref="F18">_xlfn.XLOOKUP(C18,customers[Customer ID],customers[City],"")</f>
        <v>Cleveland</v>
      </c>
      <c r="G18">
        <v>48</v>
      </c>
      <c r="H18" s="47" t="s">
        <v>36</v>
      </c>
      <c r="I18" s="48">
        <v>44930</v>
      </c>
      <c r="J18">
        <v>68</v>
      </c>
      <c r="K18">
        <v>4.9</v>
      </c>
      <c r="L18">
        <f>IF(MONTH(calls[[#This Row],[Date of Call]])&lt;=6,YEAR(calls[[#This Row],[Date of Call]]),YEAR(calls[[#This Row],[Date of Call]])+1)</f>
        <v>2023</v>
      </c>
      <c r="M18" t="str">
        <f>TEXT(calls[[#This Row],[Date of Call]],"DDDD")</f>
        <v>Wednesday</v>
      </c>
      <c r="N18" t="str" cm="1">
        <f t="array" ref="N1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8">
        <f>ROUND(calls[[#This Row],[Satisfaction Rating]],0)</f>
        <v>5</v>
      </c>
      <c r="P18" s="53">
        <f t="shared" si="0"/>
        <v>307</v>
      </c>
      <c r="U18" s="54" t="s">
        <v>68</v>
      </c>
      <c r="V18" s="55" t="s">
        <v>43</v>
      </c>
      <c r="W18" s="56">
        <v>43</v>
      </c>
      <c r="X18" s="57" t="s">
        <v>47</v>
      </c>
    </row>
    <row r="19" spans="2:24">
      <c r="B19" t="s">
        <v>99</v>
      </c>
      <c r="C19" t="s">
        <v>66</v>
      </c>
      <c r="D19" s="46" t="str" cm="1">
        <f t="array" ref="D19">_xlfn.XLOOKUP(C19,customers[Customer ID],customers[Gender],"")</f>
        <v>Female</v>
      </c>
      <c r="E19" s="46" cm="1">
        <f t="array" ref="E19">_xlfn.XLOOKUP(C19,customers[Customer ID],customers[Age],"")</f>
        <v>30</v>
      </c>
      <c r="F19" s="46" t="str" cm="1">
        <f t="array" ref="F19">_xlfn.XLOOKUP(C19,customers[Customer ID],customers[City],"")</f>
        <v>Cleveland</v>
      </c>
      <c r="G19">
        <v>176</v>
      </c>
      <c r="H19" s="47" t="s">
        <v>40</v>
      </c>
      <c r="I19" s="48">
        <v>44931</v>
      </c>
      <c r="J19">
        <v>24</v>
      </c>
      <c r="K19">
        <v>4.8</v>
      </c>
      <c r="L19">
        <f>IF(MONTH(calls[[#This Row],[Date of Call]])&lt;=6,YEAR(calls[[#This Row],[Date of Call]]),YEAR(calls[[#This Row],[Date of Call]])+1)</f>
        <v>2023</v>
      </c>
      <c r="M19" t="str">
        <f>TEXT(calls[[#This Row],[Date of Call]],"DDDD")</f>
        <v>Thursday</v>
      </c>
      <c r="N19" t="str" cm="1">
        <f t="array" ref="N1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9">
        <f>ROUND(calls[[#This Row],[Satisfaction Rating]],0)</f>
        <v>5</v>
      </c>
      <c r="P19" s="53">
        <f t="shared" si="0"/>
        <v>307</v>
      </c>
    </row>
    <row r="20" spans="2:24">
      <c r="B20" t="s">
        <v>100</v>
      </c>
      <c r="C20" t="s">
        <v>66</v>
      </c>
      <c r="D20" s="46" t="str" cm="1">
        <f t="array" ref="D20">_xlfn.XLOOKUP(C20,customers[Customer ID],customers[Gender],"")</f>
        <v>Female</v>
      </c>
      <c r="E20" s="46" cm="1">
        <f t="array" ref="E20">_xlfn.XLOOKUP(C20,customers[Customer ID],customers[Age],"")</f>
        <v>30</v>
      </c>
      <c r="F20" s="46" t="str" cm="1">
        <f t="array" ref="F20">_xlfn.XLOOKUP(C20,customers[Customer ID],customers[City],"")</f>
        <v>Cleveland</v>
      </c>
      <c r="G20">
        <v>99</v>
      </c>
      <c r="H20" s="47" t="s">
        <v>36</v>
      </c>
      <c r="I20" s="48">
        <v>44931</v>
      </c>
      <c r="J20">
        <v>195</v>
      </c>
      <c r="K20">
        <v>3.9</v>
      </c>
      <c r="L20">
        <f>IF(MONTH(calls[[#This Row],[Date of Call]])&lt;=6,YEAR(calls[[#This Row],[Date of Call]]),YEAR(calls[[#This Row],[Date of Call]])+1)</f>
        <v>2023</v>
      </c>
      <c r="M20" t="str">
        <f>TEXT(calls[[#This Row],[Date of Call]],"DDDD")</f>
        <v>Thursday</v>
      </c>
      <c r="N20" t="str" cm="1">
        <f t="array" ref="N2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0">
        <f>ROUND(calls[[#This Row],[Satisfaction Rating]],0)</f>
        <v>4</v>
      </c>
      <c r="P20" s="53">
        <f t="shared" si="0"/>
        <v>307</v>
      </c>
    </row>
    <row r="21" spans="2:24">
      <c r="B21" t="s">
        <v>101</v>
      </c>
      <c r="C21" t="s">
        <v>72</v>
      </c>
      <c r="D21" s="46" t="str" cm="1">
        <f t="array" ref="D21">_xlfn.XLOOKUP(C21,customers[Customer ID],customers[Gender],"")</f>
        <v>Female</v>
      </c>
      <c r="E21" s="46" cm="1">
        <f t="array" ref="E21">_xlfn.XLOOKUP(C21,customers[Customer ID],customers[Age],"")</f>
        <v>25</v>
      </c>
      <c r="F21" s="46" t="str" cm="1">
        <f t="array" ref="F21">_xlfn.XLOOKUP(C21,customers[Customer ID],customers[City],"")</f>
        <v>Columbus</v>
      </c>
      <c r="G21">
        <v>28</v>
      </c>
      <c r="H21" s="47" t="s">
        <v>38</v>
      </c>
      <c r="I21" s="48">
        <v>44931</v>
      </c>
      <c r="J21">
        <v>28</v>
      </c>
      <c r="K21">
        <v>3.8</v>
      </c>
      <c r="L21">
        <f>IF(MONTH(calls[[#This Row],[Date of Call]])&lt;=6,YEAR(calls[[#This Row],[Date of Call]]),YEAR(calls[[#This Row],[Date of Call]])+1)</f>
        <v>2023</v>
      </c>
      <c r="M21" t="str">
        <f>TEXT(calls[[#This Row],[Date of Call]],"DDDD")</f>
        <v>Thursday</v>
      </c>
      <c r="N21" t="str" cm="1">
        <f t="array" ref="N21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21">
        <f>ROUND(calls[[#This Row],[Satisfaction Rating]],0)</f>
        <v>4</v>
      </c>
      <c r="P21" s="53">
        <f t="shared" si="0"/>
        <v>307</v>
      </c>
    </row>
    <row r="22" spans="2:24">
      <c r="B22" t="s">
        <v>102</v>
      </c>
      <c r="C22" t="s">
        <v>64</v>
      </c>
      <c r="D22" s="46" t="str" cm="1">
        <f t="array" ref="D22">_xlfn.XLOOKUP(C22,customers[Customer ID],customers[Gender],"")</f>
        <v>Female</v>
      </c>
      <c r="E22" s="46" cm="1">
        <f t="array" ref="E22">_xlfn.XLOOKUP(C22,customers[Customer ID],customers[Age],"")</f>
        <v>22</v>
      </c>
      <c r="F22" s="46" t="str" cm="1">
        <f t="array" ref="F22">_xlfn.XLOOKUP(C22,customers[Customer ID],customers[City],"")</f>
        <v>Cleveland</v>
      </c>
      <c r="G22">
        <v>54</v>
      </c>
      <c r="H22" s="47" t="s">
        <v>37</v>
      </c>
      <c r="I22" s="48">
        <v>44931</v>
      </c>
      <c r="J22">
        <v>170</v>
      </c>
      <c r="K22">
        <v>4.3</v>
      </c>
      <c r="L22">
        <f>IF(MONTH(calls[[#This Row],[Date of Call]])&lt;=6,YEAR(calls[[#This Row],[Date of Call]]),YEAR(calls[[#This Row],[Date of Call]])+1)</f>
        <v>2023</v>
      </c>
      <c r="M22" t="str">
        <f>TEXT(calls[[#This Row],[Date of Call]],"DDDD")</f>
        <v>Thursday</v>
      </c>
      <c r="N22" t="str" cm="1">
        <f t="array" ref="N2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2">
        <f>ROUND(calls[[#This Row],[Satisfaction Rating]],0)</f>
        <v>4</v>
      </c>
      <c r="P22" s="53">
        <f t="shared" si="0"/>
        <v>307</v>
      </c>
    </row>
    <row r="23" spans="2:24">
      <c r="B23" t="s">
        <v>103</v>
      </c>
      <c r="C23" t="s">
        <v>71</v>
      </c>
      <c r="D23" s="46" t="str" cm="1">
        <f t="array" ref="D23">_xlfn.XLOOKUP(C23,customers[Customer ID],customers[Gender],"")</f>
        <v>Male</v>
      </c>
      <c r="E23" s="46" cm="1">
        <f t="array" ref="E23">_xlfn.XLOOKUP(C23,customers[Customer ID],customers[Age],"")</f>
        <v>23</v>
      </c>
      <c r="F23" s="46" t="str" cm="1">
        <f t="array" ref="F23">_xlfn.XLOOKUP(C23,customers[Customer ID],customers[City],"")</f>
        <v>Columbus</v>
      </c>
      <c r="G23">
        <v>48</v>
      </c>
      <c r="H23" s="47" t="s">
        <v>40</v>
      </c>
      <c r="I23" s="48">
        <v>44932</v>
      </c>
      <c r="J23">
        <v>30</v>
      </c>
      <c r="K23">
        <v>4.4</v>
      </c>
      <c r="L23">
        <f>IF(MONTH(calls[[#This Row],[Date of Call]])&lt;=6,YEAR(calls[[#This Row],[Date of Call]]),YEAR(calls[[#This Row],[Date of Call]])+1)</f>
        <v>2023</v>
      </c>
      <c r="M23" t="str">
        <f>TEXT(calls[[#This Row],[Date of Call]],"DDDD")</f>
        <v>Friday</v>
      </c>
      <c r="N23" t="str" cm="1">
        <f t="array" ref="N2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3">
        <f>ROUND(calls[[#This Row],[Satisfaction Rating]],0)</f>
        <v>4</v>
      </c>
      <c r="P23" s="53">
        <f t="shared" si="0"/>
        <v>307</v>
      </c>
    </row>
    <row r="24" spans="2:24">
      <c r="B24" t="s">
        <v>104</v>
      </c>
      <c r="C24" t="s">
        <v>60</v>
      </c>
      <c r="D24" s="46" t="str" cm="1">
        <f t="array" ref="D24">_xlfn.XLOOKUP(C24,customers[Customer ID],customers[Gender],"")</f>
        <v>Male</v>
      </c>
      <c r="E24" s="46" cm="1">
        <f t="array" ref="E24">_xlfn.XLOOKUP(C24,customers[Customer ID],customers[Age],"")</f>
        <v>36</v>
      </c>
      <c r="F24" s="46" t="str" cm="1">
        <f t="array" ref="F24">_xlfn.XLOOKUP(C24,customers[Customer ID],customers[City],"")</f>
        <v>Cincinnati</v>
      </c>
      <c r="G24">
        <v>128</v>
      </c>
      <c r="H24" s="47" t="s">
        <v>40</v>
      </c>
      <c r="I24" s="48">
        <v>44932</v>
      </c>
      <c r="J24">
        <v>72</v>
      </c>
      <c r="K24">
        <v>5</v>
      </c>
      <c r="L24">
        <f>IF(MONTH(calls[[#This Row],[Date of Call]])&lt;=6,YEAR(calls[[#This Row],[Date of Call]]),YEAR(calls[[#This Row],[Date of Call]])+1)</f>
        <v>2023</v>
      </c>
      <c r="M24" t="str">
        <f>TEXT(calls[[#This Row],[Date of Call]],"DDDD")</f>
        <v>Friday</v>
      </c>
      <c r="N24" t="str" cm="1">
        <f t="array" ref="N2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4">
        <f>ROUND(calls[[#This Row],[Satisfaction Rating]],0)</f>
        <v>5</v>
      </c>
      <c r="P24" s="53">
        <f t="shared" si="0"/>
        <v>307</v>
      </c>
    </row>
    <row r="25" spans="2:24">
      <c r="B25" t="s">
        <v>105</v>
      </c>
      <c r="C25" t="s">
        <v>60</v>
      </c>
      <c r="D25" s="46" t="str" cm="1">
        <f t="array" ref="D25">_xlfn.XLOOKUP(C25,customers[Customer ID],customers[Gender],"")</f>
        <v>Male</v>
      </c>
      <c r="E25" s="46" cm="1">
        <f t="array" ref="E25">_xlfn.XLOOKUP(C25,customers[Customer ID],customers[Age],"")</f>
        <v>36</v>
      </c>
      <c r="F25" s="46" t="str" cm="1">
        <f t="array" ref="F25">_xlfn.XLOOKUP(C25,customers[Customer ID],customers[City],"")</f>
        <v>Cincinnati</v>
      </c>
      <c r="G25">
        <v>38</v>
      </c>
      <c r="H25" s="47" t="s">
        <v>39</v>
      </c>
      <c r="I25" s="48">
        <v>44933</v>
      </c>
      <c r="J25">
        <v>92</v>
      </c>
      <c r="K25">
        <v>4.9</v>
      </c>
      <c r="L25">
        <f>IF(MONTH(calls[[#This Row],[Date of Call]])&lt;=6,YEAR(calls[[#This Row],[Date of Call]]),YEAR(calls[[#This Row],[Date of Call]])+1)</f>
        <v>2023</v>
      </c>
      <c r="M25" t="str">
        <f>TEXT(calls[[#This Row],[Date of Call]],"DDDD")</f>
        <v>Saturday</v>
      </c>
      <c r="N25" t="str" cm="1">
        <f t="array" ref="N2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5">
        <f>ROUND(calls[[#This Row],[Satisfaction Rating]],0)</f>
        <v>5</v>
      </c>
      <c r="P25" s="53">
        <f t="shared" si="0"/>
        <v>307</v>
      </c>
    </row>
    <row r="26" spans="2:24">
      <c r="B26" t="s">
        <v>106</v>
      </c>
      <c r="C26" t="s">
        <v>59</v>
      </c>
      <c r="D26" s="46" t="str" cm="1">
        <f t="array" ref="D26">_xlfn.XLOOKUP(C26,customers[Customer ID],customers[Gender],"")</f>
        <v>Male</v>
      </c>
      <c r="E26" s="46" cm="1">
        <f t="array" ref="E26">_xlfn.XLOOKUP(C26,customers[Customer ID],customers[Age],"")</f>
        <v>26</v>
      </c>
      <c r="F26" s="46" t="str" cm="1">
        <f t="array" ref="F26">_xlfn.XLOOKUP(C26,customers[Customer ID],customers[City],"")</f>
        <v>Cincinnati</v>
      </c>
      <c r="G26">
        <v>67</v>
      </c>
      <c r="H26" s="47" t="s">
        <v>39</v>
      </c>
      <c r="I26" s="48">
        <v>44934</v>
      </c>
      <c r="J26">
        <v>165</v>
      </c>
      <c r="K26">
        <v>4.5</v>
      </c>
      <c r="L26">
        <f>IF(MONTH(calls[[#This Row],[Date of Call]])&lt;=6,YEAR(calls[[#This Row],[Date of Call]]),YEAR(calls[[#This Row],[Date of Call]])+1)</f>
        <v>2023</v>
      </c>
      <c r="M26" t="str">
        <f>TEXT(calls[[#This Row],[Date of Call]],"DDDD")</f>
        <v>Sunday</v>
      </c>
      <c r="N26" t="str" cm="1">
        <f t="array" ref="N2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6">
        <f>ROUND(calls[[#This Row],[Satisfaction Rating]],0)</f>
        <v>5</v>
      </c>
      <c r="P26" s="53">
        <f t="shared" si="0"/>
        <v>307</v>
      </c>
    </row>
    <row r="27" spans="2:24">
      <c r="B27" t="s">
        <v>107</v>
      </c>
      <c r="C27" t="s">
        <v>68</v>
      </c>
      <c r="D27" s="46" t="str" cm="1">
        <f t="array" ref="D27">_xlfn.XLOOKUP(C27,customers[Customer ID],customers[Gender],"")</f>
        <v>Female</v>
      </c>
      <c r="E27" s="46" cm="1">
        <f t="array" ref="E27">_xlfn.XLOOKUP(C27,customers[Customer ID],customers[Age],"")</f>
        <v>43</v>
      </c>
      <c r="F27" s="46" t="str" cm="1">
        <f t="array" ref="F27">_xlfn.XLOOKUP(C27,customers[Customer ID],customers[City],"")</f>
        <v>Cleveland</v>
      </c>
      <c r="G27">
        <v>58</v>
      </c>
      <c r="H27" s="47" t="s">
        <v>37</v>
      </c>
      <c r="I27" s="48">
        <v>44934</v>
      </c>
      <c r="J27">
        <v>140</v>
      </c>
      <c r="K27">
        <v>2.1</v>
      </c>
      <c r="L27">
        <f>IF(MONTH(calls[[#This Row],[Date of Call]])&lt;=6,YEAR(calls[[#This Row],[Date of Call]]),YEAR(calls[[#This Row],[Date of Call]])+1)</f>
        <v>2023</v>
      </c>
      <c r="M27" t="str">
        <f>TEXT(calls[[#This Row],[Date of Call]],"DDDD")</f>
        <v>Sunday</v>
      </c>
      <c r="N27" t="str" cm="1">
        <f t="array" ref="N2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7">
        <f>ROUND(calls[[#This Row],[Satisfaction Rating]],0)</f>
        <v>2</v>
      </c>
      <c r="P27" s="53">
        <f t="shared" si="0"/>
        <v>307</v>
      </c>
    </row>
    <row r="28" spans="2:24">
      <c r="B28" t="s">
        <v>108</v>
      </c>
      <c r="C28" t="s">
        <v>66</v>
      </c>
      <c r="D28" s="46" t="str" cm="1">
        <f t="array" ref="D28">_xlfn.XLOOKUP(C28,customers[Customer ID],customers[Gender],"")</f>
        <v>Female</v>
      </c>
      <c r="E28" s="46" cm="1">
        <f t="array" ref="E28">_xlfn.XLOOKUP(C28,customers[Customer ID],customers[Age],"")</f>
        <v>30</v>
      </c>
      <c r="F28" s="46" t="str" cm="1">
        <f t="array" ref="F28">_xlfn.XLOOKUP(C28,customers[Customer ID],customers[City],"")</f>
        <v>Cleveland</v>
      </c>
      <c r="G28">
        <v>54</v>
      </c>
      <c r="H28" s="47" t="s">
        <v>36</v>
      </c>
      <c r="I28" s="48">
        <v>44934</v>
      </c>
      <c r="J28">
        <v>111</v>
      </c>
      <c r="K28">
        <v>3.3</v>
      </c>
      <c r="L28">
        <f>IF(MONTH(calls[[#This Row],[Date of Call]])&lt;=6,YEAR(calls[[#This Row],[Date of Call]]),YEAR(calls[[#This Row],[Date of Call]])+1)</f>
        <v>2023</v>
      </c>
      <c r="M28" t="str">
        <f>TEXT(calls[[#This Row],[Date of Call]],"DDDD")</f>
        <v>Sunday</v>
      </c>
      <c r="N28" t="str" cm="1">
        <f t="array" ref="N2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8">
        <f>ROUND(calls[[#This Row],[Satisfaction Rating]],0)</f>
        <v>3</v>
      </c>
      <c r="P28" s="53">
        <f t="shared" si="0"/>
        <v>307</v>
      </c>
    </row>
    <row r="29" spans="2:24">
      <c r="B29" t="s">
        <v>109</v>
      </c>
      <c r="C29" t="s">
        <v>62</v>
      </c>
      <c r="D29" s="46" t="str" cm="1">
        <f t="array" ref="D29">_xlfn.XLOOKUP(C29,customers[Customer ID],customers[Gender],"")</f>
        <v>Female</v>
      </c>
      <c r="E29" s="46" cm="1">
        <f t="array" ref="E29">_xlfn.XLOOKUP(C29,customers[Customer ID],customers[Age],"")</f>
        <v>28</v>
      </c>
      <c r="F29" s="46" t="str" cm="1">
        <f t="array" ref="F29">_xlfn.XLOOKUP(C29,customers[Customer ID],customers[City],"")</f>
        <v>Cincinnati</v>
      </c>
      <c r="G29">
        <v>28</v>
      </c>
      <c r="H29" s="47" t="s">
        <v>40</v>
      </c>
      <c r="I29" s="48">
        <v>44935</v>
      </c>
      <c r="J29">
        <v>63</v>
      </c>
      <c r="K29">
        <v>4.1</v>
      </c>
      <c r="L29">
        <f>IF(MONTH(calls[[#This Row],[Date of Call]])&lt;=6,YEAR(calls[[#This Row],[Date of Call]]),YEAR(calls[[#This Row],[Date of Call]])+1)</f>
        <v>2023</v>
      </c>
      <c r="M29" t="str">
        <f>TEXT(calls[[#This Row],[Date of Call]],"DDDD")</f>
        <v>Monday</v>
      </c>
      <c r="N29" t="str" cm="1">
        <f t="array" ref="N2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29">
        <f>ROUND(calls[[#This Row],[Satisfaction Rating]],0)</f>
        <v>4</v>
      </c>
      <c r="P29" s="53">
        <f t="shared" si="0"/>
        <v>307</v>
      </c>
    </row>
    <row r="30" spans="2:24">
      <c r="B30" t="s">
        <v>110</v>
      </c>
      <c r="C30" t="s">
        <v>63</v>
      </c>
      <c r="D30" s="46" t="str" cm="1">
        <f t="array" ref="D30">_xlfn.XLOOKUP(C30,customers[Customer ID],customers[Gender],"")</f>
        <v>Male</v>
      </c>
      <c r="E30" s="46" cm="1">
        <f t="array" ref="E30">_xlfn.XLOOKUP(C30,customers[Customer ID],customers[Age],"")</f>
        <v>31</v>
      </c>
      <c r="F30" s="46" t="str" cm="1">
        <f t="array" ref="F30">_xlfn.XLOOKUP(C30,customers[Customer ID],customers[City],"")</f>
        <v>Cleveland</v>
      </c>
      <c r="G30">
        <v>73</v>
      </c>
      <c r="H30" s="47" t="s">
        <v>40</v>
      </c>
      <c r="I30" s="48">
        <v>44935</v>
      </c>
      <c r="J30">
        <v>80</v>
      </c>
      <c r="K30">
        <v>4.2</v>
      </c>
      <c r="L30">
        <f>IF(MONTH(calls[[#This Row],[Date of Call]])&lt;=6,YEAR(calls[[#This Row],[Date of Call]]),YEAR(calls[[#This Row],[Date of Call]])+1)</f>
        <v>2023</v>
      </c>
      <c r="M30" t="str">
        <f>TEXT(calls[[#This Row],[Date of Call]],"DDDD")</f>
        <v>Monday</v>
      </c>
      <c r="N30" t="str" cm="1">
        <f t="array" ref="N3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0">
        <f>ROUND(calls[[#This Row],[Satisfaction Rating]],0)</f>
        <v>4</v>
      </c>
      <c r="P30" s="53">
        <f t="shared" si="0"/>
        <v>307</v>
      </c>
    </row>
    <row r="31" spans="2:24">
      <c r="B31" t="s">
        <v>111</v>
      </c>
      <c r="C31" t="s">
        <v>61</v>
      </c>
      <c r="D31" s="46" t="str" cm="1">
        <f t="array" ref="D31">_xlfn.XLOOKUP(C31,customers[Customer ID],customers[Gender],"")</f>
        <v>Female</v>
      </c>
      <c r="E31" s="46" cm="1">
        <f t="array" ref="E31">_xlfn.XLOOKUP(C31,customers[Customer ID],customers[Age],"")</f>
        <v>30</v>
      </c>
      <c r="F31" s="46" t="str" cm="1">
        <f t="array" ref="F31">_xlfn.XLOOKUP(C31,customers[Customer ID],customers[City],"")</f>
        <v>Cincinnati</v>
      </c>
      <c r="G31">
        <v>81</v>
      </c>
      <c r="H31" s="47" t="s">
        <v>40</v>
      </c>
      <c r="I31" s="48">
        <v>44936</v>
      </c>
      <c r="J31">
        <v>50</v>
      </c>
      <c r="K31">
        <v>4.6</v>
      </c>
      <c r="L31">
        <f>IF(MONTH(calls[[#This Row],[Date of Call]])&lt;=6,YEAR(calls[[#This Row],[Date of Call]]),YEAR(calls[[#This Row],[Date of Call]])+1)</f>
        <v>2023</v>
      </c>
      <c r="M31" t="str">
        <f>TEXT(calls[[#This Row],[Date of Call]],"DDDD")</f>
        <v>Tuesday</v>
      </c>
      <c r="N31" t="str" cm="1">
        <f t="array" ref="N3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1">
        <f>ROUND(calls[[#This Row],[Satisfaction Rating]],0)</f>
        <v>5</v>
      </c>
      <c r="P31" s="53">
        <f t="shared" si="0"/>
        <v>307</v>
      </c>
    </row>
    <row r="32" spans="2:24">
      <c r="B32" t="s">
        <v>112</v>
      </c>
      <c r="C32" t="s">
        <v>72</v>
      </c>
      <c r="D32" s="46" t="str" cm="1">
        <f t="array" ref="D32">_xlfn.XLOOKUP(C32,customers[Customer ID],customers[Gender],"")</f>
        <v>Female</v>
      </c>
      <c r="E32" s="46" cm="1">
        <f t="array" ref="E32">_xlfn.XLOOKUP(C32,customers[Customer ID],customers[Age],"")</f>
        <v>25</v>
      </c>
      <c r="F32" s="46" t="str" cm="1">
        <f t="array" ref="F32">_xlfn.XLOOKUP(C32,customers[Customer ID],customers[City],"")</f>
        <v>Columbus</v>
      </c>
      <c r="G32">
        <v>31</v>
      </c>
      <c r="H32" s="47" t="s">
        <v>39</v>
      </c>
      <c r="I32" s="48">
        <v>44936</v>
      </c>
      <c r="J32">
        <v>123</v>
      </c>
      <c r="K32">
        <v>2.9</v>
      </c>
      <c r="L32">
        <f>IF(MONTH(calls[[#This Row],[Date of Call]])&lt;=6,YEAR(calls[[#This Row],[Date of Call]]),YEAR(calls[[#This Row],[Date of Call]])+1)</f>
        <v>2023</v>
      </c>
      <c r="M32" t="str">
        <f>TEXT(calls[[#This Row],[Date of Call]],"DDDD")</f>
        <v>Tuesday</v>
      </c>
      <c r="N32" t="str" cm="1">
        <f t="array" ref="N3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2">
        <f>ROUND(calls[[#This Row],[Satisfaction Rating]],0)</f>
        <v>3</v>
      </c>
      <c r="P32" s="53">
        <f t="shared" si="0"/>
        <v>307</v>
      </c>
    </row>
    <row r="33" spans="2:16">
      <c r="B33" t="s">
        <v>113</v>
      </c>
      <c r="C33" t="s">
        <v>68</v>
      </c>
      <c r="D33" s="46" t="str" cm="1">
        <f t="array" ref="D33">_xlfn.XLOOKUP(C33,customers[Customer ID],customers[Gender],"")</f>
        <v>Female</v>
      </c>
      <c r="E33" s="46" cm="1">
        <f t="array" ref="E33">_xlfn.XLOOKUP(C33,customers[Customer ID],customers[Age],"")</f>
        <v>43</v>
      </c>
      <c r="F33" s="46" t="str" cm="1">
        <f t="array" ref="F33">_xlfn.XLOOKUP(C33,customers[Customer ID],customers[City],"")</f>
        <v>Cleveland</v>
      </c>
      <c r="G33">
        <v>155</v>
      </c>
      <c r="H33" s="47" t="s">
        <v>36</v>
      </c>
      <c r="I33" s="48">
        <v>44936</v>
      </c>
      <c r="J33">
        <v>110</v>
      </c>
      <c r="K33">
        <v>4.8</v>
      </c>
      <c r="L33">
        <f>IF(MONTH(calls[[#This Row],[Date of Call]])&lt;=6,YEAR(calls[[#This Row],[Date of Call]]),YEAR(calls[[#This Row],[Date of Call]])+1)</f>
        <v>2023</v>
      </c>
      <c r="M33" t="str">
        <f>TEXT(calls[[#This Row],[Date of Call]],"DDDD")</f>
        <v>Tuesday</v>
      </c>
      <c r="N33" t="str" cm="1">
        <f t="array" ref="N3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3">
        <f>ROUND(calls[[#This Row],[Satisfaction Rating]],0)</f>
        <v>5</v>
      </c>
      <c r="P33" s="53">
        <f t="shared" si="0"/>
        <v>307</v>
      </c>
    </row>
    <row r="34" spans="2:16">
      <c r="B34" t="s">
        <v>114</v>
      </c>
      <c r="C34" t="s">
        <v>72</v>
      </c>
      <c r="D34" s="46" t="str" cm="1">
        <f t="array" ref="D34">_xlfn.XLOOKUP(C34,customers[Customer ID],customers[Gender],"")</f>
        <v>Female</v>
      </c>
      <c r="E34" s="46" cm="1">
        <f t="array" ref="E34">_xlfn.XLOOKUP(C34,customers[Customer ID],customers[Age],"")</f>
        <v>25</v>
      </c>
      <c r="F34" s="46" t="str" cm="1">
        <f t="array" ref="F34">_xlfn.XLOOKUP(C34,customers[Customer ID],customers[City],"")</f>
        <v>Columbus</v>
      </c>
      <c r="G34">
        <v>80</v>
      </c>
      <c r="H34" s="47" t="s">
        <v>40</v>
      </c>
      <c r="I34" s="48">
        <v>44936</v>
      </c>
      <c r="J34">
        <v>140</v>
      </c>
      <c r="K34">
        <v>4.2</v>
      </c>
      <c r="L34">
        <f>IF(MONTH(calls[[#This Row],[Date of Call]])&lt;=6,YEAR(calls[[#This Row],[Date of Call]]),YEAR(calls[[#This Row],[Date of Call]])+1)</f>
        <v>2023</v>
      </c>
      <c r="M34" t="str">
        <f>TEXT(calls[[#This Row],[Date of Call]],"DDDD")</f>
        <v>Tuesday</v>
      </c>
      <c r="N34" t="str" cm="1">
        <f t="array" ref="N3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4">
        <f>ROUND(calls[[#This Row],[Satisfaction Rating]],0)</f>
        <v>4</v>
      </c>
      <c r="P34" s="53">
        <f t="shared" si="0"/>
        <v>307</v>
      </c>
    </row>
    <row r="35" spans="2:16">
      <c r="B35" t="s">
        <v>115</v>
      </c>
      <c r="C35" t="s">
        <v>61</v>
      </c>
      <c r="D35" s="46" t="str" cm="1">
        <f t="array" ref="D35">_xlfn.XLOOKUP(C35,customers[Customer ID],customers[Gender],"")</f>
        <v>Female</v>
      </c>
      <c r="E35" s="46" cm="1">
        <f t="array" ref="E35">_xlfn.XLOOKUP(C35,customers[Customer ID],customers[Age],"")</f>
        <v>30</v>
      </c>
      <c r="F35" s="46" t="str" cm="1">
        <f t="array" ref="F35">_xlfn.XLOOKUP(C35,customers[Customer ID],customers[City],"")</f>
        <v>Cincinnati</v>
      </c>
      <c r="G35">
        <v>82</v>
      </c>
      <c r="H35" s="47" t="s">
        <v>40</v>
      </c>
      <c r="I35" s="48">
        <v>44938</v>
      </c>
      <c r="J35">
        <v>42</v>
      </c>
      <c r="K35">
        <v>3.7</v>
      </c>
      <c r="L35">
        <f>IF(MONTH(calls[[#This Row],[Date of Call]])&lt;=6,YEAR(calls[[#This Row],[Date of Call]]),YEAR(calls[[#This Row],[Date of Call]])+1)</f>
        <v>2023</v>
      </c>
      <c r="M35" t="str">
        <f>TEXT(calls[[#This Row],[Date of Call]],"DDDD")</f>
        <v>Thursday</v>
      </c>
      <c r="N35" t="str" cm="1">
        <f t="array" ref="N3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5">
        <f>ROUND(calls[[#This Row],[Satisfaction Rating]],0)</f>
        <v>4</v>
      </c>
      <c r="P35" s="53">
        <f t="shared" si="0"/>
        <v>307</v>
      </c>
    </row>
    <row r="36" spans="2:16">
      <c r="B36" t="s">
        <v>116</v>
      </c>
      <c r="C36" t="s">
        <v>61</v>
      </c>
      <c r="D36" s="46" t="str" cm="1">
        <f t="array" ref="D36">_xlfn.XLOOKUP(C36,customers[Customer ID],customers[Gender],"")</f>
        <v>Female</v>
      </c>
      <c r="E36" s="46" cm="1">
        <f t="array" ref="E36">_xlfn.XLOOKUP(C36,customers[Customer ID],customers[Age],"")</f>
        <v>30</v>
      </c>
      <c r="F36" s="46" t="str" cm="1">
        <f t="array" ref="F36">_xlfn.XLOOKUP(C36,customers[Customer ID],customers[City],"")</f>
        <v>Cincinnati</v>
      </c>
      <c r="G36">
        <v>29</v>
      </c>
      <c r="H36" s="47" t="s">
        <v>36</v>
      </c>
      <c r="I36" s="48">
        <v>44938</v>
      </c>
      <c r="J36">
        <v>170</v>
      </c>
      <c r="K36">
        <v>5</v>
      </c>
      <c r="L36">
        <f>IF(MONTH(calls[[#This Row],[Date of Call]])&lt;=6,YEAR(calls[[#This Row],[Date of Call]]),YEAR(calls[[#This Row],[Date of Call]])+1)</f>
        <v>2023</v>
      </c>
      <c r="M36" t="str">
        <f>TEXT(calls[[#This Row],[Date of Call]],"DDDD")</f>
        <v>Thursday</v>
      </c>
      <c r="N36" t="str" cm="1">
        <f t="array" ref="N3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36">
        <f>ROUND(calls[[#This Row],[Satisfaction Rating]],0)</f>
        <v>5</v>
      </c>
      <c r="P36" s="53">
        <f t="shared" si="0"/>
        <v>307</v>
      </c>
    </row>
    <row r="37" spans="2:16">
      <c r="B37" t="s">
        <v>117</v>
      </c>
      <c r="C37" t="s">
        <v>71</v>
      </c>
      <c r="D37" s="46" t="str" cm="1">
        <f t="array" ref="D37">_xlfn.XLOOKUP(C37,customers[Customer ID],customers[Gender],"")</f>
        <v>Male</v>
      </c>
      <c r="E37" s="46" cm="1">
        <f t="array" ref="E37">_xlfn.XLOOKUP(C37,customers[Customer ID],customers[Age],"")</f>
        <v>23</v>
      </c>
      <c r="F37" s="46" t="str" cm="1">
        <f t="array" ref="F37">_xlfn.XLOOKUP(C37,customers[Customer ID],customers[City],"")</f>
        <v>Columbus</v>
      </c>
      <c r="G37">
        <v>160</v>
      </c>
      <c r="H37" s="47" t="s">
        <v>37</v>
      </c>
      <c r="I37" s="48">
        <v>44940</v>
      </c>
      <c r="J37">
        <v>105</v>
      </c>
      <c r="K37">
        <v>5</v>
      </c>
      <c r="L37">
        <f>IF(MONTH(calls[[#This Row],[Date of Call]])&lt;=6,YEAR(calls[[#This Row],[Date of Call]]),YEAR(calls[[#This Row],[Date of Call]])+1)</f>
        <v>2023</v>
      </c>
      <c r="M37" t="str">
        <f>TEXT(calls[[#This Row],[Date of Call]],"DDDD")</f>
        <v>Saturday</v>
      </c>
      <c r="N37" t="str" cm="1">
        <f t="array" ref="N3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7">
        <f>ROUND(calls[[#This Row],[Satisfaction Rating]],0)</f>
        <v>5</v>
      </c>
      <c r="P37" s="53">
        <f t="shared" si="0"/>
        <v>307</v>
      </c>
    </row>
    <row r="38" spans="2:16">
      <c r="B38" t="s">
        <v>118</v>
      </c>
      <c r="C38" t="s">
        <v>69</v>
      </c>
      <c r="D38" s="46" t="str" cm="1">
        <f t="array" ref="D38">_xlfn.XLOOKUP(C38,customers[Customer ID],customers[Gender],"")</f>
        <v>Male</v>
      </c>
      <c r="E38" s="46" cm="1">
        <f t="array" ref="E38">_xlfn.XLOOKUP(C38,customers[Customer ID],customers[Age],"")</f>
        <v>41</v>
      </c>
      <c r="F38" s="46" t="str" cm="1">
        <f t="array" ref="F38">_xlfn.XLOOKUP(C38,customers[Customer ID],customers[City],"")</f>
        <v>Columbus</v>
      </c>
      <c r="G38">
        <v>105</v>
      </c>
      <c r="H38" s="47" t="s">
        <v>40</v>
      </c>
      <c r="I38" s="48">
        <v>44941</v>
      </c>
      <c r="J38">
        <v>125</v>
      </c>
      <c r="K38">
        <v>4.8</v>
      </c>
      <c r="L38">
        <f>IF(MONTH(calls[[#This Row],[Date of Call]])&lt;=6,YEAR(calls[[#This Row],[Date of Call]]),YEAR(calls[[#This Row],[Date of Call]])+1)</f>
        <v>2023</v>
      </c>
      <c r="M38" t="str">
        <f>TEXT(calls[[#This Row],[Date of Call]],"DDDD")</f>
        <v>Sunday</v>
      </c>
      <c r="N38" t="str" cm="1">
        <f t="array" ref="N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8">
        <f>ROUND(calls[[#This Row],[Satisfaction Rating]],0)</f>
        <v>5</v>
      </c>
      <c r="P38" s="53">
        <f t="shared" si="0"/>
        <v>307</v>
      </c>
    </row>
    <row r="39" spans="2:16">
      <c r="B39" t="s">
        <v>119</v>
      </c>
      <c r="C39" t="s">
        <v>72</v>
      </c>
      <c r="D39" s="46" t="str" cm="1">
        <f t="array" ref="D39">_xlfn.XLOOKUP(C39,customers[Customer ID],customers[Gender],"")</f>
        <v>Female</v>
      </c>
      <c r="E39" s="46" cm="1">
        <f t="array" ref="E39">_xlfn.XLOOKUP(C39,customers[Customer ID],customers[Age],"")</f>
        <v>25</v>
      </c>
      <c r="F39" s="46" t="str" cm="1">
        <f t="array" ref="F39">_xlfn.XLOOKUP(C39,customers[Customer ID],customers[City],"")</f>
        <v>Columbus</v>
      </c>
      <c r="G39">
        <v>75</v>
      </c>
      <c r="H39" s="47" t="s">
        <v>38</v>
      </c>
      <c r="I39" s="48">
        <v>44941</v>
      </c>
      <c r="J39">
        <v>26</v>
      </c>
      <c r="K39">
        <v>2.4</v>
      </c>
      <c r="L39">
        <f>IF(MONTH(calls[[#This Row],[Date of Call]])&lt;=6,YEAR(calls[[#This Row],[Date of Call]]),YEAR(calls[[#This Row],[Date of Call]])+1)</f>
        <v>2023</v>
      </c>
      <c r="M39" t="str">
        <f>TEXT(calls[[#This Row],[Date of Call]],"DDDD")</f>
        <v>Sunday</v>
      </c>
      <c r="N39" t="str" cm="1">
        <f t="array" ref="N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9">
        <f>ROUND(calls[[#This Row],[Satisfaction Rating]],0)</f>
        <v>2</v>
      </c>
      <c r="P39" s="53">
        <f t="shared" si="0"/>
        <v>307</v>
      </c>
    </row>
    <row r="40" spans="2:16">
      <c r="B40" t="s">
        <v>120</v>
      </c>
      <c r="C40" t="s">
        <v>68</v>
      </c>
      <c r="D40" s="46" t="str" cm="1">
        <f t="array" ref="D40">_xlfn.XLOOKUP(C40,customers[Customer ID],customers[Gender],"")</f>
        <v>Female</v>
      </c>
      <c r="E40" s="46" cm="1">
        <f t="array" ref="E40">_xlfn.XLOOKUP(C40,customers[Customer ID],customers[Age],"")</f>
        <v>43</v>
      </c>
      <c r="F40" s="46" t="str" cm="1">
        <f t="array" ref="F40">_xlfn.XLOOKUP(C40,customers[Customer ID],customers[City],"")</f>
        <v>Cleveland</v>
      </c>
      <c r="G40">
        <v>94</v>
      </c>
      <c r="H40" s="47" t="s">
        <v>38</v>
      </c>
      <c r="I40" s="48">
        <v>44942</v>
      </c>
      <c r="J40">
        <v>120</v>
      </c>
      <c r="K40">
        <v>3.1</v>
      </c>
      <c r="L40">
        <f>IF(MONTH(calls[[#This Row],[Date of Call]])&lt;=6,YEAR(calls[[#This Row],[Date of Call]]),YEAR(calls[[#This Row],[Date of Call]])+1)</f>
        <v>2023</v>
      </c>
      <c r="M40" t="str">
        <f>TEXT(calls[[#This Row],[Date of Call]],"DDDD")</f>
        <v>Monday</v>
      </c>
      <c r="N40" t="str" cm="1">
        <f t="array" ref="N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0">
        <f>ROUND(calls[[#This Row],[Satisfaction Rating]],0)</f>
        <v>3</v>
      </c>
      <c r="P40" s="53">
        <f t="shared" si="0"/>
        <v>307</v>
      </c>
    </row>
    <row r="41" spans="2:16">
      <c r="B41" t="s">
        <v>121</v>
      </c>
      <c r="C41" t="s">
        <v>60</v>
      </c>
      <c r="D41" s="46" t="str" cm="1">
        <f t="array" ref="D41">_xlfn.XLOOKUP(C41,customers[Customer ID],customers[Gender],"")</f>
        <v>Male</v>
      </c>
      <c r="E41" s="46" cm="1">
        <f t="array" ref="E41">_xlfn.XLOOKUP(C41,customers[Customer ID],customers[Age],"")</f>
        <v>36</v>
      </c>
      <c r="F41" s="46" t="str" cm="1">
        <f t="array" ref="F41">_xlfn.XLOOKUP(C41,customers[Customer ID],customers[City],"")</f>
        <v>Cincinnati</v>
      </c>
      <c r="G41">
        <v>90</v>
      </c>
      <c r="H41" s="47" t="s">
        <v>37</v>
      </c>
      <c r="I41" s="48">
        <v>44942</v>
      </c>
      <c r="J41">
        <v>132</v>
      </c>
      <c r="K41">
        <v>3.2</v>
      </c>
      <c r="L41">
        <f>IF(MONTH(calls[[#This Row],[Date of Call]])&lt;=6,YEAR(calls[[#This Row],[Date of Call]]),YEAR(calls[[#This Row],[Date of Call]])+1)</f>
        <v>2023</v>
      </c>
      <c r="M41" t="str">
        <f>TEXT(calls[[#This Row],[Date of Call]],"DDDD")</f>
        <v>Monday</v>
      </c>
      <c r="N41" t="str" cm="1">
        <f t="array" ref="N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1">
        <f>ROUND(calls[[#This Row],[Satisfaction Rating]],0)</f>
        <v>3</v>
      </c>
      <c r="P41" s="53">
        <f t="shared" si="0"/>
        <v>307</v>
      </c>
    </row>
    <row r="42" spans="2:16">
      <c r="B42" t="s">
        <v>122</v>
      </c>
      <c r="C42" t="s">
        <v>68</v>
      </c>
      <c r="D42" s="46" t="str" cm="1">
        <f t="array" ref="D42">_xlfn.XLOOKUP(C42,customers[Customer ID],customers[Gender],"")</f>
        <v>Female</v>
      </c>
      <c r="E42" s="46" cm="1">
        <f t="array" ref="E42">_xlfn.XLOOKUP(C42,customers[Customer ID],customers[Age],"")</f>
        <v>43</v>
      </c>
      <c r="F42" s="46" t="str" cm="1">
        <f t="array" ref="F42">_xlfn.XLOOKUP(C42,customers[Customer ID],customers[City],"")</f>
        <v>Cleveland</v>
      </c>
      <c r="G42">
        <v>81</v>
      </c>
      <c r="H42" s="47" t="s">
        <v>39</v>
      </c>
      <c r="I42" s="48">
        <v>44943</v>
      </c>
      <c r="J42">
        <v>86</v>
      </c>
      <c r="K42">
        <v>2.4</v>
      </c>
      <c r="L42">
        <f>IF(MONTH(calls[[#This Row],[Date of Call]])&lt;=6,YEAR(calls[[#This Row],[Date of Call]]),YEAR(calls[[#This Row],[Date of Call]])+1)</f>
        <v>2023</v>
      </c>
      <c r="M42" t="str">
        <f>TEXT(calls[[#This Row],[Date of Call]],"DDDD")</f>
        <v>Tuesday</v>
      </c>
      <c r="N42" t="str" cm="1">
        <f t="array" ref="N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2">
        <f>ROUND(calls[[#This Row],[Satisfaction Rating]],0)</f>
        <v>2</v>
      </c>
      <c r="P42" s="53">
        <f t="shared" si="0"/>
        <v>307</v>
      </c>
    </row>
    <row r="43" spans="2:16">
      <c r="B43" t="s">
        <v>123</v>
      </c>
      <c r="C43" t="s">
        <v>72</v>
      </c>
      <c r="D43" s="46" t="str" cm="1">
        <f t="array" ref="D43">_xlfn.XLOOKUP(C43,customers[Customer ID],customers[Gender],"")</f>
        <v>Female</v>
      </c>
      <c r="E43" s="46" cm="1">
        <f t="array" ref="E43">_xlfn.XLOOKUP(C43,customers[Customer ID],customers[Age],"")</f>
        <v>25</v>
      </c>
      <c r="F43" s="46" t="str" cm="1">
        <f t="array" ref="F43">_xlfn.XLOOKUP(C43,customers[Customer ID],customers[City],"")</f>
        <v>Columbus</v>
      </c>
      <c r="G43">
        <v>106</v>
      </c>
      <c r="H43" s="47" t="s">
        <v>40</v>
      </c>
      <c r="I43" s="48">
        <v>44943</v>
      </c>
      <c r="J43">
        <v>108</v>
      </c>
      <c r="K43">
        <v>5</v>
      </c>
      <c r="L43">
        <f>IF(MONTH(calls[[#This Row],[Date of Call]])&lt;=6,YEAR(calls[[#This Row],[Date of Call]]),YEAR(calls[[#This Row],[Date of Call]])+1)</f>
        <v>2023</v>
      </c>
      <c r="M43" t="str">
        <f>TEXT(calls[[#This Row],[Date of Call]],"DDDD")</f>
        <v>Tuesday</v>
      </c>
      <c r="N43" t="str" cm="1">
        <f t="array" ref="N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3">
        <f>ROUND(calls[[#This Row],[Satisfaction Rating]],0)</f>
        <v>5</v>
      </c>
      <c r="P43" s="53">
        <f t="shared" si="0"/>
        <v>307</v>
      </c>
    </row>
    <row r="44" spans="2:16">
      <c r="B44" t="s">
        <v>124</v>
      </c>
      <c r="C44" t="s">
        <v>60</v>
      </c>
      <c r="D44" s="46" t="str" cm="1">
        <f t="array" ref="D44">_xlfn.XLOOKUP(C44,customers[Customer ID],customers[Gender],"")</f>
        <v>Male</v>
      </c>
      <c r="E44" s="46" cm="1">
        <f t="array" ref="E44">_xlfn.XLOOKUP(C44,customers[Customer ID],customers[Age],"")</f>
        <v>36</v>
      </c>
      <c r="F44" s="46" t="str" cm="1">
        <f t="array" ref="F44">_xlfn.XLOOKUP(C44,customers[Customer ID],customers[City],"")</f>
        <v>Cincinnati</v>
      </c>
      <c r="G44">
        <v>74</v>
      </c>
      <c r="H44" s="47" t="s">
        <v>39</v>
      </c>
      <c r="I44" s="48">
        <v>44943</v>
      </c>
      <c r="J44">
        <v>96</v>
      </c>
      <c r="K44">
        <v>4.7</v>
      </c>
      <c r="L44">
        <f>IF(MONTH(calls[[#This Row],[Date of Call]])&lt;=6,YEAR(calls[[#This Row],[Date of Call]]),YEAR(calls[[#This Row],[Date of Call]])+1)</f>
        <v>2023</v>
      </c>
      <c r="M44" t="str">
        <f>TEXT(calls[[#This Row],[Date of Call]],"DDDD")</f>
        <v>Tuesday</v>
      </c>
      <c r="N44" t="str" cm="1">
        <f t="array" ref="N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4">
        <f>ROUND(calls[[#This Row],[Satisfaction Rating]],0)</f>
        <v>5</v>
      </c>
      <c r="P44" s="53">
        <f t="shared" si="0"/>
        <v>307</v>
      </c>
    </row>
    <row r="45" spans="2:16">
      <c r="B45" t="s">
        <v>125</v>
      </c>
      <c r="C45" t="s">
        <v>66</v>
      </c>
      <c r="D45" s="46" t="str" cm="1">
        <f t="array" ref="D45">_xlfn.XLOOKUP(C45,customers[Customer ID],customers[Gender],"")</f>
        <v>Female</v>
      </c>
      <c r="E45" s="46" cm="1">
        <f t="array" ref="E45">_xlfn.XLOOKUP(C45,customers[Customer ID],customers[Age],"")</f>
        <v>30</v>
      </c>
      <c r="F45" s="46" t="str" cm="1">
        <f t="array" ref="F45">_xlfn.XLOOKUP(C45,customers[Customer ID],customers[City],"")</f>
        <v>Cleveland</v>
      </c>
      <c r="G45">
        <v>105</v>
      </c>
      <c r="H45" s="47" t="s">
        <v>37</v>
      </c>
      <c r="I45" s="48">
        <v>44944</v>
      </c>
      <c r="J45">
        <v>80</v>
      </c>
      <c r="K45">
        <v>4.7</v>
      </c>
      <c r="L45">
        <f>IF(MONTH(calls[[#This Row],[Date of Call]])&lt;=6,YEAR(calls[[#This Row],[Date of Call]]),YEAR(calls[[#This Row],[Date of Call]])+1)</f>
        <v>2023</v>
      </c>
      <c r="M45" t="str">
        <f>TEXT(calls[[#This Row],[Date of Call]],"DDDD")</f>
        <v>Wednesday</v>
      </c>
      <c r="N45" t="str" cm="1">
        <f t="array" ref="N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5">
        <f>ROUND(calls[[#This Row],[Satisfaction Rating]],0)</f>
        <v>5</v>
      </c>
      <c r="P45" s="53">
        <f t="shared" si="0"/>
        <v>307</v>
      </c>
    </row>
    <row r="46" spans="2:16">
      <c r="B46" t="s">
        <v>126</v>
      </c>
      <c r="C46" t="s">
        <v>72</v>
      </c>
      <c r="D46" s="46" t="str" cm="1">
        <f t="array" ref="D46">_xlfn.XLOOKUP(C46,customers[Customer ID],customers[Gender],"")</f>
        <v>Female</v>
      </c>
      <c r="E46" s="46" cm="1">
        <f t="array" ref="E46">_xlfn.XLOOKUP(C46,customers[Customer ID],customers[Age],"")</f>
        <v>25</v>
      </c>
      <c r="F46" s="46" t="str" cm="1">
        <f t="array" ref="F46">_xlfn.XLOOKUP(C46,customers[Customer ID],customers[City],"")</f>
        <v>Columbus</v>
      </c>
      <c r="G46">
        <v>89</v>
      </c>
      <c r="H46" s="47" t="s">
        <v>40</v>
      </c>
      <c r="I46" s="48">
        <v>44944</v>
      </c>
      <c r="J46">
        <v>155</v>
      </c>
      <c r="K46">
        <v>4.1</v>
      </c>
      <c r="L46">
        <f>IF(MONTH(calls[[#This Row],[Date of Call]])&lt;=6,YEAR(calls[[#This Row],[Date of Call]]),YEAR(calls[[#This Row],[Date of Call]])+1)</f>
        <v>2023</v>
      </c>
      <c r="M46" t="str">
        <f>TEXT(calls[[#This Row],[Date of Call]],"DDDD")</f>
        <v>Wednesday</v>
      </c>
      <c r="N46" t="str" cm="1">
        <f t="array" ref="N4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6">
        <f>ROUND(calls[[#This Row],[Satisfaction Rating]],0)</f>
        <v>4</v>
      </c>
      <c r="P46" s="53">
        <f t="shared" si="0"/>
        <v>307</v>
      </c>
    </row>
    <row r="47" spans="2:16">
      <c r="B47" t="s">
        <v>127</v>
      </c>
      <c r="C47" t="s">
        <v>67</v>
      </c>
      <c r="D47" s="46" t="str" cm="1">
        <f t="array" ref="D47">_xlfn.XLOOKUP(C47,customers[Customer ID],customers[Gender],"")</f>
        <v>Female</v>
      </c>
      <c r="E47" s="46" cm="1">
        <f t="array" ref="E47">_xlfn.XLOOKUP(C47,customers[Customer ID],customers[Age],"")</f>
        <v>37</v>
      </c>
      <c r="F47" s="46" t="str" cm="1">
        <f t="array" ref="F47">_xlfn.XLOOKUP(C47,customers[Customer ID],customers[City],"")</f>
        <v>Cleveland</v>
      </c>
      <c r="G47">
        <v>132</v>
      </c>
      <c r="H47" s="47" t="s">
        <v>38</v>
      </c>
      <c r="I47" s="48">
        <v>44944</v>
      </c>
      <c r="J47">
        <v>168</v>
      </c>
      <c r="K47">
        <v>4.1</v>
      </c>
      <c r="L47">
        <f>IF(MONTH(calls[[#This Row],[Date of Call]])&lt;=6,YEAR(calls[[#This Row],[Date of Call]]),YEAR(calls[[#This Row],[Date of Call]])+1)</f>
        <v>2023</v>
      </c>
      <c r="M47" t="str">
        <f>TEXT(calls[[#This Row],[Date of Call]],"DDDD")</f>
        <v>Wednesday</v>
      </c>
      <c r="N47" t="str" cm="1">
        <f t="array" ref="N4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7">
        <f>ROUND(calls[[#This Row],[Satisfaction Rating]],0)</f>
        <v>4</v>
      </c>
      <c r="P47" s="53">
        <f t="shared" si="0"/>
        <v>307</v>
      </c>
    </row>
    <row r="48" spans="2:16">
      <c r="B48" t="s">
        <v>128</v>
      </c>
      <c r="C48" t="s">
        <v>69</v>
      </c>
      <c r="D48" s="46" t="str" cm="1">
        <f t="array" ref="D48">_xlfn.XLOOKUP(C48,customers[Customer ID],customers[Gender],"")</f>
        <v>Male</v>
      </c>
      <c r="E48" s="46" cm="1">
        <f t="array" ref="E48">_xlfn.XLOOKUP(C48,customers[Customer ID],customers[Age],"")</f>
        <v>41</v>
      </c>
      <c r="F48" s="46" t="str" cm="1">
        <f t="array" ref="F48">_xlfn.XLOOKUP(C48,customers[Customer ID],customers[City],"")</f>
        <v>Columbus</v>
      </c>
      <c r="G48">
        <v>105</v>
      </c>
      <c r="H48" s="47" t="s">
        <v>36</v>
      </c>
      <c r="I48" s="48">
        <v>44944</v>
      </c>
      <c r="J48">
        <v>56</v>
      </c>
      <c r="K48">
        <v>3.6</v>
      </c>
      <c r="L48">
        <f>IF(MONTH(calls[[#This Row],[Date of Call]])&lt;=6,YEAR(calls[[#This Row],[Date of Call]]),YEAR(calls[[#This Row],[Date of Call]])+1)</f>
        <v>2023</v>
      </c>
      <c r="M48" t="str">
        <f>TEXT(calls[[#This Row],[Date of Call]],"DDDD")</f>
        <v>Wednesday</v>
      </c>
      <c r="N48" t="str" cm="1">
        <f t="array" ref="N4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8">
        <f>ROUND(calls[[#This Row],[Satisfaction Rating]],0)</f>
        <v>4</v>
      </c>
      <c r="P48" s="53">
        <f t="shared" si="0"/>
        <v>307</v>
      </c>
    </row>
    <row r="49" spans="2:16">
      <c r="B49" t="s">
        <v>129</v>
      </c>
      <c r="C49" t="s">
        <v>61</v>
      </c>
      <c r="D49" s="46" t="str" cm="1">
        <f t="array" ref="D49">_xlfn.XLOOKUP(C49,customers[Customer ID],customers[Gender],"")</f>
        <v>Female</v>
      </c>
      <c r="E49" s="46" cm="1">
        <f t="array" ref="E49">_xlfn.XLOOKUP(C49,customers[Customer ID],customers[Age],"")</f>
        <v>30</v>
      </c>
      <c r="F49" s="46" t="str" cm="1">
        <f t="array" ref="F49">_xlfn.XLOOKUP(C49,customers[Customer ID],customers[City],"")</f>
        <v>Cincinnati</v>
      </c>
      <c r="G49">
        <v>13</v>
      </c>
      <c r="H49" s="47" t="s">
        <v>38</v>
      </c>
      <c r="I49" s="48">
        <v>44945</v>
      </c>
      <c r="J49">
        <v>32</v>
      </c>
      <c r="K49">
        <v>4.4</v>
      </c>
      <c r="L49">
        <f>IF(MONTH(calls[[#This Row],[Date of Call]])&lt;=6,YEAR(calls[[#This Row],[Date of Call]]),YEAR(calls[[#This Row],[Date of Call]])+1)</f>
        <v>2023</v>
      </c>
      <c r="M49" t="str">
        <f>TEXT(calls[[#This Row],[Date of Call]],"DDDD")</f>
        <v>Thursday</v>
      </c>
      <c r="N49" t="str" cm="1">
        <f t="array" ref="N4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9">
        <f>ROUND(calls[[#This Row],[Satisfaction Rating]],0)</f>
        <v>4</v>
      </c>
      <c r="P49" s="53">
        <f t="shared" si="0"/>
        <v>307</v>
      </c>
    </row>
    <row r="50" spans="2:16">
      <c r="B50" t="s">
        <v>130</v>
      </c>
      <c r="C50" t="s">
        <v>73</v>
      </c>
      <c r="D50" s="46" t="str" cm="1">
        <f t="array" ref="D50">_xlfn.XLOOKUP(C50,customers[Customer ID],customers[Gender],"")</f>
        <v>Female</v>
      </c>
      <c r="E50" s="46" cm="1">
        <f t="array" ref="E50">_xlfn.XLOOKUP(C50,customers[Customer ID],customers[Age],"")</f>
        <v>38</v>
      </c>
      <c r="F50" s="46" t="str" cm="1">
        <f t="array" ref="F50">_xlfn.XLOOKUP(C50,customers[Customer ID],customers[City],"")</f>
        <v>Columbus</v>
      </c>
      <c r="G50">
        <v>131</v>
      </c>
      <c r="H50" s="47" t="s">
        <v>36</v>
      </c>
      <c r="I50" s="48">
        <v>44945</v>
      </c>
      <c r="J50">
        <v>78</v>
      </c>
      <c r="K50">
        <v>4.4</v>
      </c>
      <c r="L50">
        <f>IF(MONTH(calls[[#This Row],[Date of Call]])&lt;=6,YEAR(calls[[#This Row],[Date of Call]]),YEAR(calls[[#This Row],[Date of Call]])+1)</f>
        <v>2023</v>
      </c>
      <c r="M50" t="str">
        <f>TEXT(calls[[#This Row],[Date of Call]],"DDDD")</f>
        <v>Thursday</v>
      </c>
      <c r="N50" t="str" cm="1">
        <f t="array" ref="N5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0">
        <f>ROUND(calls[[#This Row],[Satisfaction Rating]],0)</f>
        <v>4</v>
      </c>
      <c r="P50" s="53">
        <f t="shared" si="0"/>
        <v>307</v>
      </c>
    </row>
    <row r="51" spans="2:16">
      <c r="B51" t="s">
        <v>131</v>
      </c>
      <c r="C51" t="s">
        <v>60</v>
      </c>
      <c r="D51" s="46" t="str" cm="1">
        <f t="array" ref="D51">_xlfn.XLOOKUP(C51,customers[Customer ID],customers[Gender],"")</f>
        <v>Male</v>
      </c>
      <c r="E51" s="46" cm="1">
        <f t="array" ref="E51">_xlfn.XLOOKUP(C51,customers[Customer ID],customers[Age],"")</f>
        <v>36</v>
      </c>
      <c r="F51" s="46" t="str" cm="1">
        <f t="array" ref="F51">_xlfn.XLOOKUP(C51,customers[Customer ID],customers[City],"")</f>
        <v>Cincinnati</v>
      </c>
      <c r="G51">
        <v>104</v>
      </c>
      <c r="H51" s="47" t="s">
        <v>40</v>
      </c>
      <c r="I51" s="48">
        <v>44945</v>
      </c>
      <c r="J51">
        <v>86</v>
      </c>
      <c r="K51">
        <v>4</v>
      </c>
      <c r="L51">
        <f>IF(MONTH(calls[[#This Row],[Date of Call]])&lt;=6,YEAR(calls[[#This Row],[Date of Call]]),YEAR(calls[[#This Row],[Date of Call]])+1)</f>
        <v>2023</v>
      </c>
      <c r="M51" t="str">
        <f>TEXT(calls[[#This Row],[Date of Call]],"DDDD")</f>
        <v>Thursday</v>
      </c>
      <c r="N51" t="str" cm="1">
        <f t="array" ref="N5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1">
        <f>ROUND(calls[[#This Row],[Satisfaction Rating]],0)</f>
        <v>4</v>
      </c>
      <c r="P51" s="53">
        <f t="shared" si="0"/>
        <v>307</v>
      </c>
    </row>
    <row r="52" spans="2:16">
      <c r="B52" t="s">
        <v>132</v>
      </c>
      <c r="C52" t="s">
        <v>59</v>
      </c>
      <c r="D52" s="46" t="str" cm="1">
        <f t="array" ref="D52">_xlfn.XLOOKUP(C52,customers[Customer ID],customers[Gender],"")</f>
        <v>Male</v>
      </c>
      <c r="E52" s="46" cm="1">
        <f t="array" ref="E52">_xlfn.XLOOKUP(C52,customers[Customer ID],customers[Age],"")</f>
        <v>26</v>
      </c>
      <c r="F52" s="46" t="str" cm="1">
        <f t="array" ref="F52">_xlfn.XLOOKUP(C52,customers[Customer ID],customers[City],"")</f>
        <v>Cincinnati</v>
      </c>
      <c r="G52">
        <v>90</v>
      </c>
      <c r="H52" s="47" t="s">
        <v>37</v>
      </c>
      <c r="I52" s="48">
        <v>44946</v>
      </c>
      <c r="J52">
        <v>64</v>
      </c>
      <c r="K52">
        <v>3.8</v>
      </c>
      <c r="L52">
        <f>IF(MONTH(calls[[#This Row],[Date of Call]])&lt;=6,YEAR(calls[[#This Row],[Date of Call]]),YEAR(calls[[#This Row],[Date of Call]])+1)</f>
        <v>2023</v>
      </c>
      <c r="M52" t="str">
        <f>TEXT(calls[[#This Row],[Date of Call]],"DDDD")</f>
        <v>Friday</v>
      </c>
      <c r="N52" t="str" cm="1">
        <f t="array" ref="N5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2">
        <f>ROUND(calls[[#This Row],[Satisfaction Rating]],0)</f>
        <v>4</v>
      </c>
      <c r="P52" s="53">
        <f t="shared" si="0"/>
        <v>307</v>
      </c>
    </row>
    <row r="53" spans="2:16">
      <c r="B53" t="s">
        <v>133</v>
      </c>
      <c r="C53" t="s">
        <v>62</v>
      </c>
      <c r="D53" s="46" t="str" cm="1">
        <f t="array" ref="D53">_xlfn.XLOOKUP(C53,customers[Customer ID],customers[Gender],"")</f>
        <v>Female</v>
      </c>
      <c r="E53" s="46" cm="1">
        <f t="array" ref="E53">_xlfn.XLOOKUP(C53,customers[Customer ID],customers[Age],"")</f>
        <v>28</v>
      </c>
      <c r="F53" s="46" t="str" cm="1">
        <f t="array" ref="F53">_xlfn.XLOOKUP(C53,customers[Customer ID],customers[City],"")</f>
        <v>Cincinnati</v>
      </c>
      <c r="G53">
        <v>37</v>
      </c>
      <c r="H53" s="47" t="s">
        <v>37</v>
      </c>
      <c r="I53" s="48">
        <v>44946</v>
      </c>
      <c r="J53">
        <v>96</v>
      </c>
      <c r="K53">
        <v>3.6</v>
      </c>
      <c r="L53">
        <f>IF(MONTH(calls[[#This Row],[Date of Call]])&lt;=6,YEAR(calls[[#This Row],[Date of Call]]),YEAR(calls[[#This Row],[Date of Call]])+1)</f>
        <v>2023</v>
      </c>
      <c r="M53" t="str">
        <f>TEXT(calls[[#This Row],[Date of Call]],"DDDD")</f>
        <v>Friday</v>
      </c>
      <c r="N53" t="str" cm="1">
        <f t="array" ref="N5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3">
        <f>ROUND(calls[[#This Row],[Satisfaction Rating]],0)</f>
        <v>4</v>
      </c>
      <c r="P53" s="53">
        <f t="shared" si="0"/>
        <v>307</v>
      </c>
    </row>
    <row r="54" spans="2:16">
      <c r="B54" t="s">
        <v>134</v>
      </c>
      <c r="C54" t="s">
        <v>63</v>
      </c>
      <c r="D54" s="46" t="str" cm="1">
        <f t="array" ref="D54">_xlfn.XLOOKUP(C54,customers[Customer ID],customers[Gender],"")</f>
        <v>Male</v>
      </c>
      <c r="E54" s="46" cm="1">
        <f t="array" ref="E54">_xlfn.XLOOKUP(C54,customers[Customer ID],customers[Age],"")</f>
        <v>31</v>
      </c>
      <c r="F54" s="46" t="str" cm="1">
        <f t="array" ref="F54">_xlfn.XLOOKUP(C54,customers[Customer ID],customers[City],"")</f>
        <v>Cleveland</v>
      </c>
      <c r="G54">
        <v>149</v>
      </c>
      <c r="H54" s="47" t="s">
        <v>36</v>
      </c>
      <c r="I54" s="48">
        <v>44946</v>
      </c>
      <c r="J54">
        <v>72</v>
      </c>
      <c r="K54">
        <v>4.3</v>
      </c>
      <c r="L54">
        <f>IF(MONTH(calls[[#This Row],[Date of Call]])&lt;=6,YEAR(calls[[#This Row],[Date of Call]]),YEAR(calls[[#This Row],[Date of Call]])+1)</f>
        <v>2023</v>
      </c>
      <c r="M54" t="str">
        <f>TEXT(calls[[#This Row],[Date of Call]],"DDDD")</f>
        <v>Friday</v>
      </c>
      <c r="N54" t="str" cm="1">
        <f t="array" ref="N5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4">
        <f>ROUND(calls[[#This Row],[Satisfaction Rating]],0)</f>
        <v>4</v>
      </c>
      <c r="P54" s="53">
        <f t="shared" si="0"/>
        <v>307</v>
      </c>
    </row>
    <row r="55" spans="2:16">
      <c r="B55" t="s">
        <v>135</v>
      </c>
      <c r="C55" t="s">
        <v>67</v>
      </c>
      <c r="D55" s="46" t="str" cm="1">
        <f t="array" ref="D55">_xlfn.XLOOKUP(C55,customers[Customer ID],customers[Gender],"")</f>
        <v>Female</v>
      </c>
      <c r="E55" s="46" cm="1">
        <f t="array" ref="E55">_xlfn.XLOOKUP(C55,customers[Customer ID],customers[Age],"")</f>
        <v>37</v>
      </c>
      <c r="F55" s="46" t="str" cm="1">
        <f t="array" ref="F55">_xlfn.XLOOKUP(C55,customers[Customer ID],customers[City],"")</f>
        <v>Cleveland</v>
      </c>
      <c r="G55">
        <v>100</v>
      </c>
      <c r="H55" s="47" t="s">
        <v>39</v>
      </c>
      <c r="I55" s="48">
        <v>44947</v>
      </c>
      <c r="J55">
        <v>135</v>
      </c>
      <c r="K55">
        <v>3.8</v>
      </c>
      <c r="L55">
        <f>IF(MONTH(calls[[#This Row],[Date of Call]])&lt;=6,YEAR(calls[[#This Row],[Date of Call]]),YEAR(calls[[#This Row],[Date of Call]])+1)</f>
        <v>2023</v>
      </c>
      <c r="M55" t="str">
        <f>TEXT(calls[[#This Row],[Date of Call]],"DDDD")</f>
        <v>Saturday</v>
      </c>
      <c r="N55" t="str" cm="1">
        <f t="array" ref="N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5">
        <f>ROUND(calls[[#This Row],[Satisfaction Rating]],0)</f>
        <v>4</v>
      </c>
      <c r="P55" s="53">
        <f t="shared" si="0"/>
        <v>307</v>
      </c>
    </row>
    <row r="56" spans="2:16">
      <c r="B56" t="s">
        <v>136</v>
      </c>
      <c r="C56" t="s">
        <v>67</v>
      </c>
      <c r="D56" s="46" t="str" cm="1">
        <f t="array" ref="D56">_xlfn.XLOOKUP(C56,customers[Customer ID],customers[Gender],"")</f>
        <v>Female</v>
      </c>
      <c r="E56" s="46" cm="1">
        <f t="array" ref="E56">_xlfn.XLOOKUP(C56,customers[Customer ID],customers[Age],"")</f>
        <v>37</v>
      </c>
      <c r="F56" s="46" t="str" cm="1">
        <f t="array" ref="F56">_xlfn.XLOOKUP(C56,customers[Customer ID],customers[City],"")</f>
        <v>Cleveland</v>
      </c>
      <c r="G56">
        <v>79</v>
      </c>
      <c r="H56" s="47" t="s">
        <v>38</v>
      </c>
      <c r="I56" s="48">
        <v>44947</v>
      </c>
      <c r="J56">
        <v>140</v>
      </c>
      <c r="K56">
        <v>4.5</v>
      </c>
      <c r="L56">
        <f>IF(MONTH(calls[[#This Row],[Date of Call]])&lt;=6,YEAR(calls[[#This Row],[Date of Call]]),YEAR(calls[[#This Row],[Date of Call]])+1)</f>
        <v>2023</v>
      </c>
      <c r="M56" t="str">
        <f>TEXT(calls[[#This Row],[Date of Call]],"DDDD")</f>
        <v>Saturday</v>
      </c>
      <c r="N56" t="str" cm="1">
        <f t="array" ref="N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6">
        <f>ROUND(calls[[#This Row],[Satisfaction Rating]],0)</f>
        <v>5</v>
      </c>
      <c r="P56" s="53">
        <f t="shared" si="0"/>
        <v>307</v>
      </c>
    </row>
    <row r="57" spans="2:16">
      <c r="B57" t="s">
        <v>137</v>
      </c>
      <c r="C57" t="s">
        <v>65</v>
      </c>
      <c r="D57" s="46" t="str" cm="1">
        <f t="array" ref="D57">_xlfn.XLOOKUP(C57,customers[Customer ID],customers[Gender],"")</f>
        <v>Female</v>
      </c>
      <c r="E57" s="46" cm="1">
        <f t="array" ref="E57">_xlfn.XLOOKUP(C57,customers[Customer ID],customers[Age],"")</f>
        <v>42</v>
      </c>
      <c r="F57" s="46" t="str" cm="1">
        <f t="array" ref="F57">_xlfn.XLOOKUP(C57,customers[Customer ID],customers[City],"")</f>
        <v>Cleveland</v>
      </c>
      <c r="G57">
        <v>157</v>
      </c>
      <c r="H57" s="47" t="s">
        <v>36</v>
      </c>
      <c r="I57" s="48">
        <v>44947</v>
      </c>
      <c r="J57">
        <v>69</v>
      </c>
      <c r="K57">
        <v>4.5</v>
      </c>
      <c r="L57">
        <f>IF(MONTH(calls[[#This Row],[Date of Call]])&lt;=6,YEAR(calls[[#This Row],[Date of Call]]),YEAR(calls[[#This Row],[Date of Call]])+1)</f>
        <v>2023</v>
      </c>
      <c r="M57" t="str">
        <f>TEXT(calls[[#This Row],[Date of Call]],"DDDD")</f>
        <v>Saturday</v>
      </c>
      <c r="N57" t="str" cm="1">
        <f t="array" ref="N5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7">
        <f>ROUND(calls[[#This Row],[Satisfaction Rating]],0)</f>
        <v>5</v>
      </c>
      <c r="P57" s="53">
        <f t="shared" si="0"/>
        <v>307</v>
      </c>
    </row>
    <row r="58" spans="2:16">
      <c r="B58" t="s">
        <v>138</v>
      </c>
      <c r="C58" t="s">
        <v>67</v>
      </c>
      <c r="D58" s="46" t="str" cm="1">
        <f t="array" ref="D58">_xlfn.XLOOKUP(C58,customers[Customer ID],customers[Gender],"")</f>
        <v>Female</v>
      </c>
      <c r="E58" s="46" cm="1">
        <f t="array" ref="E58">_xlfn.XLOOKUP(C58,customers[Customer ID],customers[Age],"")</f>
        <v>37</v>
      </c>
      <c r="F58" s="46" t="str" cm="1">
        <f t="array" ref="F58">_xlfn.XLOOKUP(C58,customers[Customer ID],customers[City],"")</f>
        <v>Cleveland</v>
      </c>
      <c r="G58">
        <v>59</v>
      </c>
      <c r="H58" s="47" t="s">
        <v>40</v>
      </c>
      <c r="I58" s="48">
        <v>44948</v>
      </c>
      <c r="J58">
        <v>136</v>
      </c>
      <c r="K58">
        <v>4.6</v>
      </c>
      <c r="L58">
        <f>IF(MONTH(calls[[#This Row],[Date of Call]])&lt;=6,YEAR(calls[[#This Row],[Date of Call]]),YEAR(calls[[#This Row],[Date of Call]])+1)</f>
        <v>2023</v>
      </c>
      <c r="M58" t="str">
        <f>TEXT(calls[[#This Row],[Date of Call]],"DDDD")</f>
        <v>Sunday</v>
      </c>
      <c r="N58" t="str" cm="1">
        <f t="array" ref="N5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8">
        <f>ROUND(calls[[#This Row],[Satisfaction Rating]],0)</f>
        <v>5</v>
      </c>
      <c r="P58" s="53">
        <f t="shared" si="0"/>
        <v>307</v>
      </c>
    </row>
    <row r="59" spans="2:16">
      <c r="B59" t="s">
        <v>139</v>
      </c>
      <c r="C59" t="s">
        <v>62</v>
      </c>
      <c r="D59" s="46" t="str" cm="1">
        <f t="array" ref="D59">_xlfn.XLOOKUP(C59,customers[Customer ID],customers[Gender],"")</f>
        <v>Female</v>
      </c>
      <c r="E59" s="46" cm="1">
        <f t="array" ref="E59">_xlfn.XLOOKUP(C59,customers[Customer ID],customers[Age],"")</f>
        <v>28</v>
      </c>
      <c r="F59" s="46" t="str" cm="1">
        <f t="array" ref="F59">_xlfn.XLOOKUP(C59,customers[Customer ID],customers[City],"")</f>
        <v>Cincinnati</v>
      </c>
      <c r="G59">
        <v>83</v>
      </c>
      <c r="H59" s="47" t="s">
        <v>36</v>
      </c>
      <c r="I59" s="48">
        <v>44948</v>
      </c>
      <c r="J59">
        <v>28</v>
      </c>
      <c r="K59">
        <v>4.5</v>
      </c>
      <c r="L59">
        <f>IF(MONTH(calls[[#This Row],[Date of Call]])&lt;=6,YEAR(calls[[#This Row],[Date of Call]]),YEAR(calls[[#This Row],[Date of Call]])+1)</f>
        <v>2023</v>
      </c>
      <c r="M59" t="str">
        <f>TEXT(calls[[#This Row],[Date of Call]],"DDDD")</f>
        <v>Sunday</v>
      </c>
      <c r="N59" t="str" cm="1">
        <f t="array" ref="N5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9">
        <f>ROUND(calls[[#This Row],[Satisfaction Rating]],0)</f>
        <v>5</v>
      </c>
      <c r="P59" s="53">
        <f t="shared" si="0"/>
        <v>307</v>
      </c>
    </row>
    <row r="60" spans="2:16">
      <c r="B60" t="s">
        <v>140</v>
      </c>
      <c r="C60" t="s">
        <v>65</v>
      </c>
      <c r="D60" s="46" t="str" cm="1">
        <f t="array" ref="D60">_xlfn.XLOOKUP(C60,customers[Customer ID],customers[Gender],"")</f>
        <v>Female</v>
      </c>
      <c r="E60" s="46" cm="1">
        <f t="array" ref="E60">_xlfn.XLOOKUP(C60,customers[Customer ID],customers[Age],"")</f>
        <v>42</v>
      </c>
      <c r="F60" s="46" t="str" cm="1">
        <f t="array" ref="F60">_xlfn.XLOOKUP(C60,customers[Customer ID],customers[City],"")</f>
        <v>Cleveland</v>
      </c>
      <c r="G60">
        <v>58</v>
      </c>
      <c r="H60" s="47" t="s">
        <v>37</v>
      </c>
      <c r="I60" s="48">
        <v>44949</v>
      </c>
      <c r="J60">
        <v>135</v>
      </c>
      <c r="K60">
        <v>3.3</v>
      </c>
      <c r="L60">
        <f>IF(MONTH(calls[[#This Row],[Date of Call]])&lt;=6,YEAR(calls[[#This Row],[Date of Call]]),YEAR(calls[[#This Row],[Date of Call]])+1)</f>
        <v>2023</v>
      </c>
      <c r="M60" t="str">
        <f>TEXT(calls[[#This Row],[Date of Call]],"DDDD")</f>
        <v>Monday</v>
      </c>
      <c r="N60" t="str" cm="1">
        <f t="array" ref="N6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0">
        <f>ROUND(calls[[#This Row],[Satisfaction Rating]],0)</f>
        <v>3</v>
      </c>
      <c r="P60" s="53">
        <f t="shared" si="0"/>
        <v>307</v>
      </c>
    </row>
    <row r="61" spans="2:16">
      <c r="B61" t="s">
        <v>141</v>
      </c>
      <c r="C61" t="s">
        <v>68</v>
      </c>
      <c r="D61" s="46" t="str" cm="1">
        <f t="array" ref="D61">_xlfn.XLOOKUP(C61,customers[Customer ID],customers[Gender],"")</f>
        <v>Female</v>
      </c>
      <c r="E61" s="46" cm="1">
        <f t="array" ref="E61">_xlfn.XLOOKUP(C61,customers[Customer ID],customers[Age],"")</f>
        <v>43</v>
      </c>
      <c r="F61" s="46" t="str" cm="1">
        <f t="array" ref="F61">_xlfn.XLOOKUP(C61,customers[Customer ID],customers[City],"")</f>
        <v>Cleveland</v>
      </c>
      <c r="G61">
        <v>118</v>
      </c>
      <c r="H61" s="47" t="s">
        <v>37</v>
      </c>
      <c r="I61" s="48">
        <v>44949</v>
      </c>
      <c r="J61">
        <v>126</v>
      </c>
      <c r="K61">
        <v>2.3</v>
      </c>
      <c r="L61">
        <f>IF(MONTH(calls[[#This Row],[Date of Call]])&lt;=6,YEAR(calls[[#This Row],[Date of Call]]),YEAR(calls[[#This Row],[Date of Call]])+1)</f>
        <v>2023</v>
      </c>
      <c r="M61" t="str">
        <f>TEXT(calls[[#This Row],[Date of Call]],"DDDD")</f>
        <v>Monday</v>
      </c>
      <c r="N61" t="str" cm="1">
        <f t="array" ref="N6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1">
        <f>ROUND(calls[[#This Row],[Satisfaction Rating]],0)</f>
        <v>2</v>
      </c>
      <c r="P61" s="53">
        <f t="shared" si="0"/>
        <v>307</v>
      </c>
    </row>
    <row r="62" spans="2:16">
      <c r="B62" t="s">
        <v>142</v>
      </c>
      <c r="C62" t="s">
        <v>61</v>
      </c>
      <c r="D62" s="46" t="str" cm="1">
        <f t="array" ref="D62">_xlfn.XLOOKUP(C62,customers[Customer ID],customers[Gender],"")</f>
        <v>Female</v>
      </c>
      <c r="E62" s="46" cm="1">
        <f t="array" ref="E62">_xlfn.XLOOKUP(C62,customers[Customer ID],customers[Age],"")</f>
        <v>30</v>
      </c>
      <c r="F62" s="46" t="str" cm="1">
        <f t="array" ref="F62">_xlfn.XLOOKUP(C62,customers[Customer ID],customers[City],"")</f>
        <v>Cincinnati</v>
      </c>
      <c r="G62">
        <v>63</v>
      </c>
      <c r="H62" s="47" t="s">
        <v>40</v>
      </c>
      <c r="I62" s="48">
        <v>44949</v>
      </c>
      <c r="J62">
        <v>160</v>
      </c>
      <c r="K62">
        <v>4.3</v>
      </c>
      <c r="L62">
        <f>IF(MONTH(calls[[#This Row],[Date of Call]])&lt;=6,YEAR(calls[[#This Row],[Date of Call]]),YEAR(calls[[#This Row],[Date of Call]])+1)</f>
        <v>2023</v>
      </c>
      <c r="M62" t="str">
        <f>TEXT(calls[[#This Row],[Date of Call]],"DDDD")</f>
        <v>Monday</v>
      </c>
      <c r="N62" t="str" cm="1">
        <f t="array" ref="N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2">
        <f>ROUND(calls[[#This Row],[Satisfaction Rating]],0)</f>
        <v>4</v>
      </c>
      <c r="P62" s="53">
        <f t="shared" si="0"/>
        <v>307</v>
      </c>
    </row>
    <row r="63" spans="2:16">
      <c r="B63" t="s">
        <v>143</v>
      </c>
      <c r="C63" t="s">
        <v>65</v>
      </c>
      <c r="D63" s="46" t="str" cm="1">
        <f t="array" ref="D63">_xlfn.XLOOKUP(C63,customers[Customer ID],customers[Gender],"")</f>
        <v>Female</v>
      </c>
      <c r="E63" s="46" cm="1">
        <f t="array" ref="E63">_xlfn.XLOOKUP(C63,customers[Customer ID],customers[Age],"")</f>
        <v>42</v>
      </c>
      <c r="F63" s="46" t="str" cm="1">
        <f t="array" ref="F63">_xlfn.XLOOKUP(C63,customers[Customer ID],customers[City],"")</f>
        <v>Cleveland</v>
      </c>
      <c r="G63">
        <v>95</v>
      </c>
      <c r="H63" s="47" t="s">
        <v>37</v>
      </c>
      <c r="I63" s="48">
        <v>44950</v>
      </c>
      <c r="J63">
        <v>48</v>
      </c>
      <c r="K63">
        <v>4.6</v>
      </c>
      <c r="L63">
        <f>IF(MONTH(calls[[#This Row],[Date of Call]])&lt;=6,YEAR(calls[[#This Row],[Date of Call]]),YEAR(calls[[#This Row],[Date of Call]])+1)</f>
        <v>2023</v>
      </c>
      <c r="M63" t="str">
        <f>TEXT(calls[[#This Row],[Date of Call]],"DDDD")</f>
        <v>Tuesday</v>
      </c>
      <c r="N63" t="str" cm="1">
        <f t="array" ref="N6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3">
        <f>ROUND(calls[[#This Row],[Satisfaction Rating]],0)</f>
        <v>5</v>
      </c>
      <c r="P63" s="53">
        <f t="shared" si="0"/>
        <v>307</v>
      </c>
    </row>
    <row r="64" spans="2:16">
      <c r="B64" t="s">
        <v>144</v>
      </c>
      <c r="C64" t="s">
        <v>67</v>
      </c>
      <c r="D64" s="46" t="str" cm="1">
        <f t="array" ref="D64">_xlfn.XLOOKUP(C64,customers[Customer ID],customers[Gender],"")</f>
        <v>Female</v>
      </c>
      <c r="E64" s="46" cm="1">
        <f t="array" ref="E64">_xlfn.XLOOKUP(C64,customers[Customer ID],customers[Age],"")</f>
        <v>37</v>
      </c>
      <c r="F64" s="46" t="str" cm="1">
        <f t="array" ref="F64">_xlfn.XLOOKUP(C64,customers[Customer ID],customers[City],"")</f>
        <v>Cleveland</v>
      </c>
      <c r="G64">
        <v>74</v>
      </c>
      <c r="H64" s="47" t="s">
        <v>36</v>
      </c>
      <c r="I64" s="48">
        <v>44950</v>
      </c>
      <c r="J64">
        <v>66</v>
      </c>
      <c r="K64">
        <v>4</v>
      </c>
      <c r="L64">
        <f>IF(MONTH(calls[[#This Row],[Date of Call]])&lt;=6,YEAR(calls[[#This Row],[Date of Call]]),YEAR(calls[[#This Row],[Date of Call]])+1)</f>
        <v>2023</v>
      </c>
      <c r="M64" t="str">
        <f>TEXT(calls[[#This Row],[Date of Call]],"DDDD")</f>
        <v>Tuesday</v>
      </c>
      <c r="N64" t="str" cm="1">
        <f t="array" ref="N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4">
        <f>ROUND(calls[[#This Row],[Satisfaction Rating]],0)</f>
        <v>4</v>
      </c>
      <c r="P64" s="53">
        <f t="shared" si="0"/>
        <v>307</v>
      </c>
    </row>
    <row r="65" spans="2:16">
      <c r="B65" t="s">
        <v>145</v>
      </c>
      <c r="C65" t="s">
        <v>66</v>
      </c>
      <c r="D65" s="46" t="str" cm="1">
        <f t="array" ref="D65">_xlfn.XLOOKUP(C65,customers[Customer ID],customers[Gender],"")</f>
        <v>Female</v>
      </c>
      <c r="E65" s="46" cm="1">
        <f t="array" ref="E65">_xlfn.XLOOKUP(C65,customers[Customer ID],customers[Age],"")</f>
        <v>30</v>
      </c>
      <c r="F65" s="46" t="str" cm="1">
        <f t="array" ref="F65">_xlfn.XLOOKUP(C65,customers[Customer ID],customers[City],"")</f>
        <v>Cleveland</v>
      </c>
      <c r="G65">
        <v>130</v>
      </c>
      <c r="H65" s="47" t="s">
        <v>39</v>
      </c>
      <c r="I65" s="48">
        <v>44950</v>
      </c>
      <c r="J65">
        <v>126</v>
      </c>
      <c r="K65">
        <v>2.5</v>
      </c>
      <c r="L65">
        <f>IF(MONTH(calls[[#This Row],[Date of Call]])&lt;=6,YEAR(calls[[#This Row],[Date of Call]]),YEAR(calls[[#This Row],[Date of Call]])+1)</f>
        <v>2023</v>
      </c>
      <c r="M65" t="str">
        <f>TEXT(calls[[#This Row],[Date of Call]],"DDDD")</f>
        <v>Tuesday</v>
      </c>
      <c r="N65" t="str" cm="1">
        <f t="array" ref="N6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5">
        <f>ROUND(calls[[#This Row],[Satisfaction Rating]],0)</f>
        <v>3</v>
      </c>
      <c r="P65" s="53">
        <f t="shared" si="0"/>
        <v>307</v>
      </c>
    </row>
    <row r="66" spans="2:16">
      <c r="B66" t="s">
        <v>146</v>
      </c>
      <c r="C66" t="s">
        <v>68</v>
      </c>
      <c r="D66" s="46" t="str" cm="1">
        <f t="array" ref="D66">_xlfn.XLOOKUP(C66,customers[Customer ID],customers[Gender],"")</f>
        <v>Female</v>
      </c>
      <c r="E66" s="46" cm="1">
        <f t="array" ref="E66">_xlfn.XLOOKUP(C66,customers[Customer ID],customers[Age],"")</f>
        <v>43</v>
      </c>
      <c r="F66" s="46" t="str" cm="1">
        <f t="array" ref="F66">_xlfn.XLOOKUP(C66,customers[Customer ID],customers[City],"")</f>
        <v>Cleveland</v>
      </c>
      <c r="G66">
        <v>110</v>
      </c>
      <c r="H66" s="47" t="s">
        <v>38</v>
      </c>
      <c r="I66" s="48">
        <v>44950</v>
      </c>
      <c r="J66">
        <v>96</v>
      </c>
      <c r="K66">
        <v>5</v>
      </c>
      <c r="L66">
        <f>IF(MONTH(calls[[#This Row],[Date of Call]])&lt;=6,YEAR(calls[[#This Row],[Date of Call]]),YEAR(calls[[#This Row],[Date of Call]])+1)</f>
        <v>2023</v>
      </c>
      <c r="M66" t="str">
        <f>TEXT(calls[[#This Row],[Date of Call]],"DDDD")</f>
        <v>Tuesday</v>
      </c>
      <c r="N66" t="str" cm="1">
        <f t="array" ref="N6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6">
        <f>ROUND(calls[[#This Row],[Satisfaction Rating]],0)</f>
        <v>5</v>
      </c>
      <c r="P66" s="53">
        <f t="shared" si="0"/>
        <v>307</v>
      </c>
    </row>
    <row r="67" spans="2:16">
      <c r="B67" t="s">
        <v>147</v>
      </c>
      <c r="C67" t="s">
        <v>67</v>
      </c>
      <c r="D67" s="46" t="str" cm="1">
        <f t="array" ref="D67">_xlfn.XLOOKUP(C67,customers[Customer ID],customers[Gender],"")</f>
        <v>Female</v>
      </c>
      <c r="E67" s="46" cm="1">
        <f t="array" ref="E67">_xlfn.XLOOKUP(C67,customers[Customer ID],customers[Age],"")</f>
        <v>37</v>
      </c>
      <c r="F67" s="46" t="str" cm="1">
        <f t="array" ref="F67">_xlfn.XLOOKUP(C67,customers[Customer ID],customers[City],"")</f>
        <v>Cleveland</v>
      </c>
      <c r="G67">
        <v>71</v>
      </c>
      <c r="H67" s="47" t="s">
        <v>40</v>
      </c>
      <c r="I67" s="48">
        <v>44951</v>
      </c>
      <c r="J67">
        <v>90</v>
      </c>
      <c r="K67">
        <v>3.8</v>
      </c>
      <c r="L67">
        <f>IF(MONTH(calls[[#This Row],[Date of Call]])&lt;=6,YEAR(calls[[#This Row],[Date of Call]]),YEAR(calls[[#This Row],[Date of Call]])+1)</f>
        <v>2023</v>
      </c>
      <c r="M67" t="str">
        <f>TEXT(calls[[#This Row],[Date of Call]],"DDDD")</f>
        <v>Wednesday</v>
      </c>
      <c r="N67" t="str" cm="1">
        <f t="array" ref="N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7">
        <f>ROUND(calls[[#This Row],[Satisfaction Rating]],0)</f>
        <v>4</v>
      </c>
      <c r="P67" s="53">
        <f t="shared" si="0"/>
        <v>307</v>
      </c>
    </row>
    <row r="68" spans="2:16">
      <c r="B68" t="s">
        <v>148</v>
      </c>
      <c r="C68" t="s">
        <v>69</v>
      </c>
      <c r="D68" s="46" t="str" cm="1">
        <f t="array" ref="D68">_xlfn.XLOOKUP(C68,customers[Customer ID],customers[Gender],"")</f>
        <v>Male</v>
      </c>
      <c r="E68" s="46" cm="1">
        <f t="array" ref="E68">_xlfn.XLOOKUP(C68,customers[Customer ID],customers[Age],"")</f>
        <v>41</v>
      </c>
      <c r="F68" s="46" t="str" cm="1">
        <f t="array" ref="F68">_xlfn.XLOOKUP(C68,customers[Customer ID],customers[City],"")</f>
        <v>Columbus</v>
      </c>
      <c r="G68">
        <v>147</v>
      </c>
      <c r="H68" s="47" t="s">
        <v>39</v>
      </c>
      <c r="I68" s="48">
        <v>44951</v>
      </c>
      <c r="J68">
        <v>105</v>
      </c>
      <c r="K68">
        <v>4.4</v>
      </c>
      <c r="L68">
        <f>IF(MONTH(calls[[#This Row],[Date of Call]])&lt;=6,YEAR(calls[[#This Row],[Date of Call]]),YEAR(calls[[#This Row],[Date of Call]])+1)</f>
        <v>2023</v>
      </c>
      <c r="M68" t="str">
        <f>TEXT(calls[[#This Row],[Date of Call]],"DDDD")</f>
        <v>Wednesday</v>
      </c>
      <c r="N68" t="str" cm="1">
        <f t="array" ref="N6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8">
        <f>ROUND(calls[[#This Row],[Satisfaction Rating]],0)</f>
        <v>4</v>
      </c>
      <c r="P68" s="53">
        <f t="shared" ref="P68:P131" si="1">COUNTIF(O:O,5)</f>
        <v>307</v>
      </c>
    </row>
    <row r="69" spans="2:16">
      <c r="B69" t="s">
        <v>149</v>
      </c>
      <c r="C69" t="s">
        <v>60</v>
      </c>
      <c r="D69" s="46" t="str" cm="1">
        <f t="array" ref="D69">_xlfn.XLOOKUP(C69,customers[Customer ID],customers[Gender],"")</f>
        <v>Male</v>
      </c>
      <c r="E69" s="46" cm="1">
        <f t="array" ref="E69">_xlfn.XLOOKUP(C69,customers[Customer ID],customers[Age],"")</f>
        <v>36</v>
      </c>
      <c r="F69" s="46" t="str" cm="1">
        <f t="array" ref="F69">_xlfn.XLOOKUP(C69,customers[Customer ID],customers[City],"")</f>
        <v>Cincinnati</v>
      </c>
      <c r="G69">
        <v>69</v>
      </c>
      <c r="H69" s="47" t="s">
        <v>37</v>
      </c>
      <c r="I69" s="48">
        <v>44952</v>
      </c>
      <c r="J69">
        <v>40</v>
      </c>
      <c r="K69">
        <v>3.8</v>
      </c>
      <c r="L69">
        <f>IF(MONTH(calls[[#This Row],[Date of Call]])&lt;=6,YEAR(calls[[#This Row],[Date of Call]]),YEAR(calls[[#This Row],[Date of Call]])+1)</f>
        <v>2023</v>
      </c>
      <c r="M69" t="str">
        <f>TEXT(calls[[#This Row],[Date of Call]],"DDDD")</f>
        <v>Thursday</v>
      </c>
      <c r="N69" t="str" cm="1">
        <f t="array" ref="N6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9">
        <f>ROUND(calls[[#This Row],[Satisfaction Rating]],0)</f>
        <v>4</v>
      </c>
      <c r="P69" s="53">
        <f t="shared" si="1"/>
        <v>307</v>
      </c>
    </row>
    <row r="70" spans="2:16">
      <c r="B70" t="s">
        <v>150</v>
      </c>
      <c r="C70" t="s">
        <v>68</v>
      </c>
      <c r="D70" s="46" t="str" cm="1">
        <f t="array" ref="D70">_xlfn.XLOOKUP(C70,customers[Customer ID],customers[Gender],"")</f>
        <v>Female</v>
      </c>
      <c r="E70" s="46" cm="1">
        <f t="array" ref="E70">_xlfn.XLOOKUP(C70,customers[Customer ID],customers[Age],"")</f>
        <v>43</v>
      </c>
      <c r="F70" s="46" t="str" cm="1">
        <f t="array" ref="F70">_xlfn.XLOOKUP(C70,customers[Customer ID],customers[City],"")</f>
        <v>Cleveland</v>
      </c>
      <c r="G70">
        <v>50</v>
      </c>
      <c r="H70" s="47" t="s">
        <v>40</v>
      </c>
      <c r="I70" s="48">
        <v>44952</v>
      </c>
      <c r="J70">
        <v>60</v>
      </c>
      <c r="K70">
        <v>2</v>
      </c>
      <c r="L70">
        <f>IF(MONTH(calls[[#This Row],[Date of Call]])&lt;=6,YEAR(calls[[#This Row],[Date of Call]]),YEAR(calls[[#This Row],[Date of Call]])+1)</f>
        <v>2023</v>
      </c>
      <c r="M70" t="str">
        <f>TEXT(calls[[#This Row],[Date of Call]],"DDDD")</f>
        <v>Thursday</v>
      </c>
      <c r="N70" t="str" cm="1">
        <f t="array" ref="N7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0">
        <f>ROUND(calls[[#This Row],[Satisfaction Rating]],0)</f>
        <v>2</v>
      </c>
      <c r="P70" s="53">
        <f t="shared" si="1"/>
        <v>307</v>
      </c>
    </row>
    <row r="71" spans="2:16">
      <c r="B71" t="s">
        <v>151</v>
      </c>
      <c r="C71" t="s">
        <v>66</v>
      </c>
      <c r="D71" s="46" t="str" cm="1">
        <f t="array" ref="D71">_xlfn.XLOOKUP(C71,customers[Customer ID],customers[Gender],"")</f>
        <v>Female</v>
      </c>
      <c r="E71" s="46" cm="1">
        <f t="array" ref="E71">_xlfn.XLOOKUP(C71,customers[Customer ID],customers[Age],"")</f>
        <v>30</v>
      </c>
      <c r="F71" s="46" t="str" cm="1">
        <f t="array" ref="F71">_xlfn.XLOOKUP(C71,customers[Customer ID],customers[City],"")</f>
        <v>Cleveland</v>
      </c>
      <c r="G71">
        <v>124</v>
      </c>
      <c r="H71" s="47" t="s">
        <v>39</v>
      </c>
      <c r="I71" s="48">
        <v>44953</v>
      </c>
      <c r="J71">
        <v>215</v>
      </c>
      <c r="K71">
        <v>4.1</v>
      </c>
      <c r="L71">
        <f>IF(MONTH(calls[[#This Row],[Date of Call]])&lt;=6,YEAR(calls[[#This Row],[Date of Call]]),YEAR(calls[[#This Row],[Date of Call]])+1)</f>
        <v>2023</v>
      </c>
      <c r="M71" t="str">
        <f>TEXT(calls[[#This Row],[Date of Call]],"DDDD")</f>
        <v>Friday</v>
      </c>
      <c r="N71" t="str" cm="1">
        <f t="array" ref="N7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1">
        <f>ROUND(calls[[#This Row],[Satisfaction Rating]],0)</f>
        <v>4</v>
      </c>
      <c r="P71" s="53">
        <f t="shared" si="1"/>
        <v>307</v>
      </c>
    </row>
    <row r="72" spans="2:16">
      <c r="B72" t="s">
        <v>152</v>
      </c>
      <c r="C72" t="s">
        <v>70</v>
      </c>
      <c r="D72" s="46" t="str" cm="1">
        <f t="array" ref="D72">_xlfn.XLOOKUP(C72,customers[Customer ID],customers[Gender],"")</f>
        <v>Male</v>
      </c>
      <c r="E72" s="46" cm="1">
        <f t="array" ref="E72">_xlfn.XLOOKUP(C72,customers[Customer ID],customers[Age],"")</f>
        <v>37</v>
      </c>
      <c r="F72" s="46" t="str" cm="1">
        <f t="array" ref="F72">_xlfn.XLOOKUP(C72,customers[Customer ID],customers[City],"")</f>
        <v>Columbus</v>
      </c>
      <c r="G72">
        <v>81</v>
      </c>
      <c r="H72" s="47" t="s">
        <v>36</v>
      </c>
      <c r="I72" s="48">
        <v>44953</v>
      </c>
      <c r="J72">
        <v>156</v>
      </c>
      <c r="K72">
        <v>2.6</v>
      </c>
      <c r="L72">
        <f>IF(MONTH(calls[[#This Row],[Date of Call]])&lt;=6,YEAR(calls[[#This Row],[Date of Call]]),YEAR(calls[[#This Row],[Date of Call]])+1)</f>
        <v>2023</v>
      </c>
      <c r="M72" t="str">
        <f>TEXT(calls[[#This Row],[Date of Call]],"DDDD")</f>
        <v>Friday</v>
      </c>
      <c r="N72" t="str" cm="1">
        <f t="array" ref="N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2">
        <f>ROUND(calls[[#This Row],[Satisfaction Rating]],0)</f>
        <v>3</v>
      </c>
      <c r="P72" s="53">
        <f t="shared" si="1"/>
        <v>307</v>
      </c>
    </row>
    <row r="73" spans="2:16">
      <c r="B73" t="s">
        <v>153</v>
      </c>
      <c r="C73" t="s">
        <v>71</v>
      </c>
      <c r="D73" s="46" t="str" cm="1">
        <f t="array" ref="D73">_xlfn.XLOOKUP(C73,customers[Customer ID],customers[Gender],"")</f>
        <v>Male</v>
      </c>
      <c r="E73" s="46" cm="1">
        <f t="array" ref="E73">_xlfn.XLOOKUP(C73,customers[Customer ID],customers[Age],"")</f>
        <v>23</v>
      </c>
      <c r="F73" s="46" t="str" cm="1">
        <f t="array" ref="F73">_xlfn.XLOOKUP(C73,customers[Customer ID],customers[City],"")</f>
        <v>Columbus</v>
      </c>
      <c r="G73">
        <v>141</v>
      </c>
      <c r="H73" s="47" t="s">
        <v>38</v>
      </c>
      <c r="I73" s="48">
        <v>44953</v>
      </c>
      <c r="J73">
        <v>54</v>
      </c>
      <c r="K73">
        <v>0</v>
      </c>
      <c r="L73">
        <f>IF(MONTH(calls[[#This Row],[Date of Call]])&lt;=6,YEAR(calls[[#This Row],[Date of Call]]),YEAR(calls[[#This Row],[Date of Call]])+1)</f>
        <v>2023</v>
      </c>
      <c r="M73" t="str">
        <f>TEXT(calls[[#This Row],[Date of Call]],"DDDD")</f>
        <v>Friday</v>
      </c>
      <c r="N73" t="str" cm="1">
        <f t="array" ref="N7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3">
        <f>ROUND(calls[[#This Row],[Satisfaction Rating]],0)</f>
        <v>0</v>
      </c>
      <c r="P73" s="53">
        <f t="shared" si="1"/>
        <v>307</v>
      </c>
    </row>
    <row r="74" spans="2:16">
      <c r="B74" t="s">
        <v>154</v>
      </c>
      <c r="C74" t="s">
        <v>71</v>
      </c>
      <c r="D74" s="46" t="str" cm="1">
        <f t="array" ref="D74">_xlfn.XLOOKUP(C74,customers[Customer ID],customers[Gender],"")</f>
        <v>Male</v>
      </c>
      <c r="E74" s="46" cm="1">
        <f t="array" ref="E74">_xlfn.XLOOKUP(C74,customers[Customer ID],customers[Age],"")</f>
        <v>23</v>
      </c>
      <c r="F74" s="46" t="str" cm="1">
        <f t="array" ref="F74">_xlfn.XLOOKUP(C74,customers[Customer ID],customers[City],"")</f>
        <v>Columbus</v>
      </c>
      <c r="G74">
        <v>168</v>
      </c>
      <c r="H74" s="47" t="s">
        <v>38</v>
      </c>
      <c r="I74" s="48">
        <v>44954</v>
      </c>
      <c r="J74">
        <v>160</v>
      </c>
      <c r="K74">
        <v>3.9</v>
      </c>
      <c r="L74">
        <f>IF(MONTH(calls[[#This Row],[Date of Call]])&lt;=6,YEAR(calls[[#This Row],[Date of Call]]),YEAR(calls[[#This Row],[Date of Call]])+1)</f>
        <v>2023</v>
      </c>
      <c r="M74" t="str">
        <f>TEXT(calls[[#This Row],[Date of Call]],"DDDD")</f>
        <v>Saturday</v>
      </c>
      <c r="N74" t="str" cm="1">
        <f t="array" ref="N7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4">
        <f>ROUND(calls[[#This Row],[Satisfaction Rating]],0)</f>
        <v>4</v>
      </c>
      <c r="P74" s="53">
        <f t="shared" si="1"/>
        <v>307</v>
      </c>
    </row>
    <row r="75" spans="2:16">
      <c r="B75" t="s">
        <v>155</v>
      </c>
      <c r="C75" t="s">
        <v>69</v>
      </c>
      <c r="D75" s="46" t="str" cm="1">
        <f t="array" ref="D75">_xlfn.XLOOKUP(C75,customers[Customer ID],customers[Gender],"")</f>
        <v>Male</v>
      </c>
      <c r="E75" s="46" cm="1">
        <f t="array" ref="E75">_xlfn.XLOOKUP(C75,customers[Customer ID],customers[Age],"")</f>
        <v>41</v>
      </c>
      <c r="F75" s="46" t="str" cm="1">
        <f t="array" ref="F75">_xlfn.XLOOKUP(C75,customers[Customer ID],customers[City],"")</f>
        <v>Columbus</v>
      </c>
      <c r="G75">
        <v>101</v>
      </c>
      <c r="H75" s="47" t="s">
        <v>36</v>
      </c>
      <c r="I75" s="48">
        <v>44954</v>
      </c>
      <c r="J75">
        <v>80</v>
      </c>
      <c r="K75">
        <v>4.8</v>
      </c>
      <c r="L75">
        <f>IF(MONTH(calls[[#This Row],[Date of Call]])&lt;=6,YEAR(calls[[#This Row],[Date of Call]]),YEAR(calls[[#This Row],[Date of Call]])+1)</f>
        <v>2023</v>
      </c>
      <c r="M75" t="str">
        <f>TEXT(calls[[#This Row],[Date of Call]],"DDDD")</f>
        <v>Saturday</v>
      </c>
      <c r="N75" t="str" cm="1">
        <f t="array" ref="N7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5">
        <f>ROUND(calls[[#This Row],[Satisfaction Rating]],0)</f>
        <v>5</v>
      </c>
      <c r="P75" s="53">
        <f t="shared" si="1"/>
        <v>307</v>
      </c>
    </row>
    <row r="76" spans="2:16">
      <c r="B76" t="s">
        <v>156</v>
      </c>
      <c r="C76" t="s">
        <v>67</v>
      </c>
      <c r="D76" s="46" t="str" cm="1">
        <f t="array" ref="D76">_xlfn.XLOOKUP(C76,customers[Customer ID],customers[Gender],"")</f>
        <v>Female</v>
      </c>
      <c r="E76" s="46" cm="1">
        <f t="array" ref="E76">_xlfn.XLOOKUP(C76,customers[Customer ID],customers[Age],"")</f>
        <v>37</v>
      </c>
      <c r="F76" s="46" t="str" cm="1">
        <f t="array" ref="F76">_xlfn.XLOOKUP(C76,customers[Customer ID],customers[City],"")</f>
        <v>Cleveland</v>
      </c>
      <c r="G76">
        <v>67</v>
      </c>
      <c r="H76" s="47" t="s">
        <v>36</v>
      </c>
      <c r="I76" s="48">
        <v>44954</v>
      </c>
      <c r="J76">
        <v>168</v>
      </c>
      <c r="K76">
        <v>2.6</v>
      </c>
      <c r="L76">
        <f>IF(MONTH(calls[[#This Row],[Date of Call]])&lt;=6,YEAR(calls[[#This Row],[Date of Call]]),YEAR(calls[[#This Row],[Date of Call]])+1)</f>
        <v>2023</v>
      </c>
      <c r="M76" t="str">
        <f>TEXT(calls[[#This Row],[Date of Call]],"DDDD")</f>
        <v>Saturday</v>
      </c>
      <c r="N76" t="str" cm="1">
        <f t="array" ref="N7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6">
        <f>ROUND(calls[[#This Row],[Satisfaction Rating]],0)</f>
        <v>3</v>
      </c>
      <c r="P76" s="53">
        <f t="shared" si="1"/>
        <v>307</v>
      </c>
    </row>
    <row r="77" spans="2:16">
      <c r="B77" t="s">
        <v>157</v>
      </c>
      <c r="C77" t="s">
        <v>65</v>
      </c>
      <c r="D77" s="46" t="str" cm="1">
        <f t="array" ref="D77">_xlfn.XLOOKUP(C77,customers[Customer ID],customers[Gender],"")</f>
        <v>Female</v>
      </c>
      <c r="E77" s="46" cm="1">
        <f t="array" ref="E77">_xlfn.XLOOKUP(C77,customers[Customer ID],customers[Age],"")</f>
        <v>42</v>
      </c>
      <c r="F77" s="46" t="str" cm="1">
        <f t="array" ref="F77">_xlfn.XLOOKUP(C77,customers[Customer ID],customers[City],"")</f>
        <v>Cleveland</v>
      </c>
      <c r="G77">
        <v>114</v>
      </c>
      <c r="H77" s="47" t="s">
        <v>38</v>
      </c>
      <c r="I77" s="48">
        <v>44956</v>
      </c>
      <c r="J77">
        <v>42</v>
      </c>
      <c r="K77">
        <v>2.6</v>
      </c>
      <c r="L77">
        <f>IF(MONTH(calls[[#This Row],[Date of Call]])&lt;=6,YEAR(calls[[#This Row],[Date of Call]]),YEAR(calls[[#This Row],[Date of Call]])+1)</f>
        <v>2023</v>
      </c>
      <c r="M77" t="str">
        <f>TEXT(calls[[#This Row],[Date of Call]],"DDDD")</f>
        <v>Monday</v>
      </c>
      <c r="N77" t="str" cm="1">
        <f t="array" ref="N7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7">
        <f>ROUND(calls[[#This Row],[Satisfaction Rating]],0)</f>
        <v>3</v>
      </c>
      <c r="P77" s="53">
        <f t="shared" si="1"/>
        <v>307</v>
      </c>
    </row>
    <row r="78" spans="2:16">
      <c r="B78" t="s">
        <v>158</v>
      </c>
      <c r="C78" t="s">
        <v>70</v>
      </c>
      <c r="D78" s="46" t="str" cm="1">
        <f t="array" ref="D78">_xlfn.XLOOKUP(C78,customers[Customer ID],customers[Gender],"")</f>
        <v>Male</v>
      </c>
      <c r="E78" s="46" cm="1">
        <f t="array" ref="E78">_xlfn.XLOOKUP(C78,customers[Customer ID],customers[Age],"")</f>
        <v>37</v>
      </c>
      <c r="F78" s="46" t="str" cm="1">
        <f t="array" ref="F78">_xlfn.XLOOKUP(C78,customers[Customer ID],customers[City],"")</f>
        <v>Columbus</v>
      </c>
      <c r="G78">
        <v>42</v>
      </c>
      <c r="H78" s="47" t="s">
        <v>36</v>
      </c>
      <c r="I78" s="48">
        <v>44956</v>
      </c>
      <c r="J78">
        <v>205</v>
      </c>
      <c r="K78">
        <v>3.6</v>
      </c>
      <c r="L78">
        <f>IF(MONTH(calls[[#This Row],[Date of Call]])&lt;=6,YEAR(calls[[#This Row],[Date of Call]]),YEAR(calls[[#This Row],[Date of Call]])+1)</f>
        <v>2023</v>
      </c>
      <c r="M78" t="str">
        <f>TEXT(calls[[#This Row],[Date of Call]],"DDDD")</f>
        <v>Monday</v>
      </c>
      <c r="N78" t="str" cm="1">
        <f t="array" ref="N7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8">
        <f>ROUND(calls[[#This Row],[Satisfaction Rating]],0)</f>
        <v>4</v>
      </c>
      <c r="P78" s="53">
        <f t="shared" si="1"/>
        <v>307</v>
      </c>
    </row>
    <row r="79" spans="2:16">
      <c r="B79" t="s">
        <v>159</v>
      </c>
      <c r="C79" t="s">
        <v>61</v>
      </c>
      <c r="D79" s="46" t="str" cm="1">
        <f t="array" ref="D79">_xlfn.XLOOKUP(C79,customers[Customer ID],customers[Gender],"")</f>
        <v>Female</v>
      </c>
      <c r="E79" s="46" cm="1">
        <f t="array" ref="E79">_xlfn.XLOOKUP(C79,customers[Customer ID],customers[Age],"")</f>
        <v>30</v>
      </c>
      <c r="F79" s="46" t="str" cm="1">
        <f t="array" ref="F79">_xlfn.XLOOKUP(C79,customers[Customer ID],customers[City],"")</f>
        <v>Cincinnati</v>
      </c>
      <c r="G79">
        <v>69</v>
      </c>
      <c r="H79" s="47" t="s">
        <v>38</v>
      </c>
      <c r="I79" s="48">
        <v>44956</v>
      </c>
      <c r="J79">
        <v>108</v>
      </c>
      <c r="K79">
        <v>3.3</v>
      </c>
      <c r="L79">
        <f>IF(MONTH(calls[[#This Row],[Date of Call]])&lt;=6,YEAR(calls[[#This Row],[Date of Call]]),YEAR(calls[[#This Row],[Date of Call]])+1)</f>
        <v>2023</v>
      </c>
      <c r="M79" t="str">
        <f>TEXT(calls[[#This Row],[Date of Call]],"DDDD")</f>
        <v>Monday</v>
      </c>
      <c r="N79" t="str" cm="1">
        <f t="array" ref="N7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9">
        <f>ROUND(calls[[#This Row],[Satisfaction Rating]],0)</f>
        <v>3</v>
      </c>
      <c r="P79" s="53">
        <f t="shared" si="1"/>
        <v>307</v>
      </c>
    </row>
    <row r="80" spans="2:16">
      <c r="B80" t="s">
        <v>160</v>
      </c>
      <c r="C80" t="s">
        <v>66</v>
      </c>
      <c r="D80" s="46" t="str" cm="1">
        <f t="array" ref="D80">_xlfn.XLOOKUP(C80,customers[Customer ID],customers[Gender],"")</f>
        <v>Female</v>
      </c>
      <c r="E80" s="46" cm="1">
        <f t="array" ref="E80">_xlfn.XLOOKUP(C80,customers[Customer ID],customers[Age],"")</f>
        <v>30</v>
      </c>
      <c r="F80" s="46" t="str" cm="1">
        <f t="array" ref="F80">_xlfn.XLOOKUP(C80,customers[Customer ID],customers[City],"")</f>
        <v>Cleveland</v>
      </c>
      <c r="G80">
        <v>145</v>
      </c>
      <c r="H80" s="47" t="s">
        <v>37</v>
      </c>
      <c r="I80" s="48">
        <v>44956</v>
      </c>
      <c r="J80">
        <v>78</v>
      </c>
      <c r="K80">
        <v>1.9</v>
      </c>
      <c r="L80">
        <f>IF(MONTH(calls[[#This Row],[Date of Call]])&lt;=6,YEAR(calls[[#This Row],[Date of Call]]),YEAR(calls[[#This Row],[Date of Call]])+1)</f>
        <v>2023</v>
      </c>
      <c r="M80" t="str">
        <f>TEXT(calls[[#This Row],[Date of Call]],"DDDD")</f>
        <v>Monday</v>
      </c>
      <c r="N80" t="str" cm="1">
        <f t="array" ref="N8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0">
        <f>ROUND(calls[[#This Row],[Satisfaction Rating]],0)</f>
        <v>2</v>
      </c>
      <c r="P80" s="53">
        <f t="shared" si="1"/>
        <v>307</v>
      </c>
    </row>
    <row r="81" spans="2:16">
      <c r="B81" t="s">
        <v>161</v>
      </c>
      <c r="C81" t="s">
        <v>60</v>
      </c>
      <c r="D81" s="46" t="str" cm="1">
        <f t="array" ref="D81">_xlfn.XLOOKUP(C81,customers[Customer ID],customers[Gender],"")</f>
        <v>Male</v>
      </c>
      <c r="E81" s="46" cm="1">
        <f t="array" ref="E81">_xlfn.XLOOKUP(C81,customers[Customer ID],customers[Age],"")</f>
        <v>36</v>
      </c>
      <c r="F81" s="46" t="str" cm="1">
        <f t="array" ref="F81">_xlfn.XLOOKUP(C81,customers[Customer ID],customers[City],"")</f>
        <v>Cincinnati</v>
      </c>
      <c r="G81">
        <v>43</v>
      </c>
      <c r="H81" s="47" t="s">
        <v>38</v>
      </c>
      <c r="I81" s="48">
        <v>44956</v>
      </c>
      <c r="J81">
        <v>23</v>
      </c>
      <c r="K81">
        <v>4.9</v>
      </c>
      <c r="L81">
        <f>IF(MONTH(calls[[#This Row],[Date of Call]])&lt;=6,YEAR(calls[[#This Row],[Date of Call]]),YEAR(calls[[#This Row],[Date of Call]])+1)</f>
        <v>2023</v>
      </c>
      <c r="M81" t="str">
        <f>TEXT(calls[[#This Row],[Date of Call]],"DDDD")</f>
        <v>Monday</v>
      </c>
      <c r="N81" t="str" cm="1">
        <f t="array" ref="N8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1">
        <f>ROUND(calls[[#This Row],[Satisfaction Rating]],0)</f>
        <v>5</v>
      </c>
      <c r="P81" s="53">
        <f t="shared" si="1"/>
        <v>307</v>
      </c>
    </row>
    <row r="82" spans="2:16">
      <c r="B82" t="s">
        <v>162</v>
      </c>
      <c r="C82" t="s">
        <v>61</v>
      </c>
      <c r="D82" s="46" t="str" cm="1">
        <f t="array" ref="D82">_xlfn.XLOOKUP(C82,customers[Customer ID],customers[Gender],"")</f>
        <v>Female</v>
      </c>
      <c r="E82" s="46" cm="1">
        <f t="array" ref="E82">_xlfn.XLOOKUP(C82,customers[Customer ID],customers[Age],"")</f>
        <v>30</v>
      </c>
      <c r="F82" s="46" t="str" cm="1">
        <f t="array" ref="F82">_xlfn.XLOOKUP(C82,customers[Customer ID],customers[City],"")</f>
        <v>Cincinnati</v>
      </c>
      <c r="G82">
        <v>62</v>
      </c>
      <c r="H82" s="47" t="s">
        <v>40</v>
      </c>
      <c r="I82" s="48">
        <v>44957</v>
      </c>
      <c r="J82">
        <v>99</v>
      </c>
      <c r="K82">
        <v>3.6</v>
      </c>
      <c r="L82">
        <f>IF(MONTH(calls[[#This Row],[Date of Call]])&lt;=6,YEAR(calls[[#This Row],[Date of Call]]),YEAR(calls[[#This Row],[Date of Call]])+1)</f>
        <v>2023</v>
      </c>
      <c r="M82" t="str">
        <f>TEXT(calls[[#This Row],[Date of Call]],"DDDD")</f>
        <v>Tuesday</v>
      </c>
      <c r="N82" t="str" cm="1">
        <f t="array" ref="N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2">
        <f>ROUND(calls[[#This Row],[Satisfaction Rating]],0)</f>
        <v>4</v>
      </c>
      <c r="P82" s="53">
        <f t="shared" si="1"/>
        <v>307</v>
      </c>
    </row>
    <row r="83" spans="2:16">
      <c r="B83" t="s">
        <v>163</v>
      </c>
      <c r="C83" t="s">
        <v>72</v>
      </c>
      <c r="D83" s="46" t="str" cm="1">
        <f t="array" ref="D83">_xlfn.XLOOKUP(C83,customers[Customer ID],customers[Gender],"")</f>
        <v>Female</v>
      </c>
      <c r="E83" s="46" cm="1">
        <f t="array" ref="E83">_xlfn.XLOOKUP(C83,customers[Customer ID],customers[Age],"")</f>
        <v>25</v>
      </c>
      <c r="F83" s="46" t="str" cm="1">
        <f t="array" ref="F83">_xlfn.XLOOKUP(C83,customers[Customer ID],customers[City],"")</f>
        <v>Columbus</v>
      </c>
      <c r="G83">
        <v>79</v>
      </c>
      <c r="H83" s="47" t="s">
        <v>38</v>
      </c>
      <c r="I83" s="48">
        <v>44958</v>
      </c>
      <c r="J83">
        <v>148</v>
      </c>
      <c r="K83">
        <v>4.5</v>
      </c>
      <c r="L83">
        <f>IF(MONTH(calls[[#This Row],[Date of Call]])&lt;=6,YEAR(calls[[#This Row],[Date of Call]]),YEAR(calls[[#This Row],[Date of Call]])+1)</f>
        <v>2023</v>
      </c>
      <c r="M83" t="str">
        <f>TEXT(calls[[#This Row],[Date of Call]],"DDDD")</f>
        <v>Wednesday</v>
      </c>
      <c r="N83" t="str" cm="1">
        <f t="array" ref="N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3">
        <f>ROUND(calls[[#This Row],[Satisfaction Rating]],0)</f>
        <v>5</v>
      </c>
      <c r="P83" s="53">
        <f t="shared" si="1"/>
        <v>307</v>
      </c>
    </row>
    <row r="84" spans="2:16">
      <c r="B84" t="s">
        <v>164</v>
      </c>
      <c r="C84" t="s">
        <v>66</v>
      </c>
      <c r="D84" s="46" t="str" cm="1">
        <f t="array" ref="D84">_xlfn.XLOOKUP(C84,customers[Customer ID],customers[Gender],"")</f>
        <v>Female</v>
      </c>
      <c r="E84" s="46" cm="1">
        <f t="array" ref="E84">_xlfn.XLOOKUP(C84,customers[Customer ID],customers[Age],"")</f>
        <v>30</v>
      </c>
      <c r="F84" s="46" t="str" cm="1">
        <f t="array" ref="F84">_xlfn.XLOOKUP(C84,customers[Customer ID],customers[City],"")</f>
        <v>Cleveland</v>
      </c>
      <c r="G84">
        <v>45</v>
      </c>
      <c r="H84" s="47" t="s">
        <v>39</v>
      </c>
      <c r="I84" s="48">
        <v>44958</v>
      </c>
      <c r="J84">
        <v>34</v>
      </c>
      <c r="K84">
        <v>3.7</v>
      </c>
      <c r="L84">
        <f>IF(MONTH(calls[[#This Row],[Date of Call]])&lt;=6,YEAR(calls[[#This Row],[Date of Call]]),YEAR(calls[[#This Row],[Date of Call]])+1)</f>
        <v>2023</v>
      </c>
      <c r="M84" t="str">
        <f>TEXT(calls[[#This Row],[Date of Call]],"DDDD")</f>
        <v>Wednesday</v>
      </c>
      <c r="N84" t="str" cm="1">
        <f t="array" ref="N8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4">
        <f>ROUND(calls[[#This Row],[Satisfaction Rating]],0)</f>
        <v>4</v>
      </c>
      <c r="P84" s="53">
        <f t="shared" si="1"/>
        <v>307</v>
      </c>
    </row>
    <row r="85" spans="2:16">
      <c r="B85" t="s">
        <v>165</v>
      </c>
      <c r="C85" t="s">
        <v>61</v>
      </c>
      <c r="D85" s="46" t="str" cm="1">
        <f t="array" ref="D85">_xlfn.XLOOKUP(C85,customers[Customer ID],customers[Gender],"")</f>
        <v>Female</v>
      </c>
      <c r="E85" s="46" cm="1">
        <f t="array" ref="E85">_xlfn.XLOOKUP(C85,customers[Customer ID],customers[Age],"")</f>
        <v>30</v>
      </c>
      <c r="F85" s="46" t="str" cm="1">
        <f t="array" ref="F85">_xlfn.XLOOKUP(C85,customers[Customer ID],customers[City],"")</f>
        <v>Cincinnati</v>
      </c>
      <c r="G85">
        <v>137</v>
      </c>
      <c r="H85" s="47" t="s">
        <v>38</v>
      </c>
      <c r="I85" s="48">
        <v>44958</v>
      </c>
      <c r="J85">
        <v>86</v>
      </c>
      <c r="K85">
        <v>4.8</v>
      </c>
      <c r="L85">
        <f>IF(MONTH(calls[[#This Row],[Date of Call]])&lt;=6,YEAR(calls[[#This Row],[Date of Call]]),YEAR(calls[[#This Row],[Date of Call]])+1)</f>
        <v>2023</v>
      </c>
      <c r="M85" t="str">
        <f>TEXT(calls[[#This Row],[Date of Call]],"DDDD")</f>
        <v>Wednesday</v>
      </c>
      <c r="N85" t="str" cm="1">
        <f t="array" ref="N8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5">
        <f>ROUND(calls[[#This Row],[Satisfaction Rating]],0)</f>
        <v>5</v>
      </c>
      <c r="P85" s="53">
        <f t="shared" si="1"/>
        <v>307</v>
      </c>
    </row>
    <row r="86" spans="2:16">
      <c r="B86" t="s">
        <v>166</v>
      </c>
      <c r="C86" t="s">
        <v>65</v>
      </c>
      <c r="D86" s="46" t="str" cm="1">
        <f t="array" ref="D86">_xlfn.XLOOKUP(C86,customers[Customer ID],customers[Gender],"")</f>
        <v>Female</v>
      </c>
      <c r="E86" s="46" cm="1">
        <f t="array" ref="E86">_xlfn.XLOOKUP(C86,customers[Customer ID],customers[Age],"")</f>
        <v>42</v>
      </c>
      <c r="F86" s="46" t="str" cm="1">
        <f t="array" ref="F86">_xlfn.XLOOKUP(C86,customers[Customer ID],customers[City],"")</f>
        <v>Cleveland</v>
      </c>
      <c r="G86">
        <v>109</v>
      </c>
      <c r="H86" s="47" t="s">
        <v>40</v>
      </c>
      <c r="I86" s="48">
        <v>44958</v>
      </c>
      <c r="J86">
        <v>105</v>
      </c>
      <c r="K86">
        <v>3.3</v>
      </c>
      <c r="L86">
        <f>IF(MONTH(calls[[#This Row],[Date of Call]])&lt;=6,YEAR(calls[[#This Row],[Date of Call]]),YEAR(calls[[#This Row],[Date of Call]])+1)</f>
        <v>2023</v>
      </c>
      <c r="M86" t="str">
        <f>TEXT(calls[[#This Row],[Date of Call]],"DDDD")</f>
        <v>Wednesday</v>
      </c>
      <c r="N86" t="str" cm="1">
        <f t="array" ref="N8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6">
        <f>ROUND(calls[[#This Row],[Satisfaction Rating]],0)</f>
        <v>3</v>
      </c>
      <c r="P86" s="53">
        <f t="shared" si="1"/>
        <v>307</v>
      </c>
    </row>
    <row r="87" spans="2:16">
      <c r="B87" t="s">
        <v>167</v>
      </c>
      <c r="C87" t="s">
        <v>60</v>
      </c>
      <c r="D87" s="46" t="str" cm="1">
        <f t="array" ref="D87">_xlfn.XLOOKUP(C87,customers[Customer ID],customers[Gender],"")</f>
        <v>Male</v>
      </c>
      <c r="E87" s="46" cm="1">
        <f t="array" ref="E87">_xlfn.XLOOKUP(C87,customers[Customer ID],customers[Age],"")</f>
        <v>36</v>
      </c>
      <c r="F87" s="46" t="str" cm="1">
        <f t="array" ref="F87">_xlfn.XLOOKUP(C87,customers[Customer ID],customers[City],"")</f>
        <v>Cincinnati</v>
      </c>
      <c r="G87">
        <v>78</v>
      </c>
      <c r="H87" s="47" t="s">
        <v>40</v>
      </c>
      <c r="I87" s="48">
        <v>44958</v>
      </c>
      <c r="J87">
        <v>62</v>
      </c>
      <c r="K87">
        <v>3.1</v>
      </c>
      <c r="L87">
        <f>IF(MONTH(calls[[#This Row],[Date of Call]])&lt;=6,YEAR(calls[[#This Row],[Date of Call]]),YEAR(calls[[#This Row],[Date of Call]])+1)</f>
        <v>2023</v>
      </c>
      <c r="M87" t="str">
        <f>TEXT(calls[[#This Row],[Date of Call]],"DDDD")</f>
        <v>Wednesday</v>
      </c>
      <c r="N87" t="str" cm="1">
        <f t="array" ref="N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7">
        <f>ROUND(calls[[#This Row],[Satisfaction Rating]],0)</f>
        <v>3</v>
      </c>
      <c r="P87" s="53">
        <f t="shared" si="1"/>
        <v>307</v>
      </c>
    </row>
    <row r="88" spans="2:16">
      <c r="B88" t="s">
        <v>168</v>
      </c>
      <c r="C88" t="s">
        <v>61</v>
      </c>
      <c r="D88" s="46" t="str" cm="1">
        <f t="array" ref="D88">_xlfn.XLOOKUP(C88,customers[Customer ID],customers[Gender],"")</f>
        <v>Female</v>
      </c>
      <c r="E88" s="46" cm="1">
        <f t="array" ref="E88">_xlfn.XLOOKUP(C88,customers[Customer ID],customers[Age],"")</f>
        <v>30</v>
      </c>
      <c r="F88" s="46" t="str" cm="1">
        <f t="array" ref="F88">_xlfn.XLOOKUP(C88,customers[Customer ID],customers[City],"")</f>
        <v>Cincinnati</v>
      </c>
      <c r="G88">
        <v>137</v>
      </c>
      <c r="H88" s="47" t="s">
        <v>39</v>
      </c>
      <c r="I88" s="48">
        <v>44958</v>
      </c>
      <c r="J88">
        <v>90</v>
      </c>
      <c r="K88">
        <v>4.1</v>
      </c>
      <c r="L88">
        <f>IF(MONTH(calls[[#This Row],[Date of Call]])&lt;=6,YEAR(calls[[#This Row],[Date of Call]]),YEAR(calls[[#This Row],[Date of Call]])+1)</f>
        <v>2023</v>
      </c>
      <c r="M88" t="str">
        <f>TEXT(calls[[#This Row],[Date of Call]],"DDDD")</f>
        <v>Wednesday</v>
      </c>
      <c r="N88" t="str" cm="1">
        <f t="array" ref="N8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8">
        <f>ROUND(calls[[#This Row],[Satisfaction Rating]],0)</f>
        <v>4</v>
      </c>
      <c r="P88" s="53">
        <f t="shared" si="1"/>
        <v>307</v>
      </c>
    </row>
    <row r="89" spans="2:16">
      <c r="B89" t="s">
        <v>169</v>
      </c>
      <c r="C89" t="s">
        <v>73</v>
      </c>
      <c r="D89" s="46" t="str" cm="1">
        <f t="array" ref="D89">_xlfn.XLOOKUP(C89,customers[Customer ID],customers[Gender],"")</f>
        <v>Female</v>
      </c>
      <c r="E89" s="46" cm="1">
        <f t="array" ref="E89">_xlfn.XLOOKUP(C89,customers[Customer ID],customers[Age],"")</f>
        <v>38</v>
      </c>
      <c r="F89" s="46" t="str" cm="1">
        <f t="array" ref="F89">_xlfn.XLOOKUP(C89,customers[Customer ID],customers[City],"")</f>
        <v>Columbus</v>
      </c>
      <c r="G89">
        <v>99</v>
      </c>
      <c r="H89" s="47" t="s">
        <v>40</v>
      </c>
      <c r="I89" s="48">
        <v>44959</v>
      </c>
      <c r="J89">
        <v>112</v>
      </c>
      <c r="K89">
        <v>4.9</v>
      </c>
      <c r="L89">
        <f>IF(MONTH(calls[[#This Row],[Date of Call]])&lt;=6,YEAR(calls[[#This Row],[Date of Call]]),YEAR(calls[[#This Row],[Date of Call]])+1)</f>
        <v>2023</v>
      </c>
      <c r="M89" t="str">
        <f>TEXT(calls[[#This Row],[Date of Call]],"DDDD")</f>
        <v>Thursday</v>
      </c>
      <c r="N89" t="str" cm="1">
        <f t="array" ref="N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9">
        <f>ROUND(calls[[#This Row],[Satisfaction Rating]],0)</f>
        <v>5</v>
      </c>
      <c r="P89" s="53">
        <f t="shared" si="1"/>
        <v>307</v>
      </c>
    </row>
    <row r="90" spans="2:16">
      <c r="B90" t="s">
        <v>170</v>
      </c>
      <c r="C90" t="s">
        <v>68</v>
      </c>
      <c r="D90" s="46" t="str" cm="1">
        <f t="array" ref="D90">_xlfn.XLOOKUP(C90,customers[Customer ID],customers[Gender],"")</f>
        <v>Female</v>
      </c>
      <c r="E90" s="46" cm="1">
        <f t="array" ref="E90">_xlfn.XLOOKUP(C90,customers[Customer ID],customers[Age],"")</f>
        <v>43</v>
      </c>
      <c r="F90" s="46" t="str" cm="1">
        <f t="array" ref="F90">_xlfn.XLOOKUP(C90,customers[Customer ID],customers[City],"")</f>
        <v>Cleveland</v>
      </c>
      <c r="G90">
        <v>100</v>
      </c>
      <c r="H90" s="47" t="s">
        <v>40</v>
      </c>
      <c r="I90" s="48">
        <v>44959</v>
      </c>
      <c r="J90">
        <v>135</v>
      </c>
      <c r="K90">
        <v>4</v>
      </c>
      <c r="L90">
        <f>IF(MONTH(calls[[#This Row],[Date of Call]])&lt;=6,YEAR(calls[[#This Row],[Date of Call]]),YEAR(calls[[#This Row],[Date of Call]])+1)</f>
        <v>2023</v>
      </c>
      <c r="M90" t="str">
        <f>TEXT(calls[[#This Row],[Date of Call]],"DDDD")</f>
        <v>Thursday</v>
      </c>
      <c r="N90" t="str" cm="1">
        <f t="array" ref="N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0">
        <f>ROUND(calls[[#This Row],[Satisfaction Rating]],0)</f>
        <v>4</v>
      </c>
      <c r="P90" s="53">
        <f t="shared" si="1"/>
        <v>307</v>
      </c>
    </row>
    <row r="91" spans="2:16">
      <c r="B91" t="s">
        <v>171</v>
      </c>
      <c r="C91" t="s">
        <v>60</v>
      </c>
      <c r="D91" s="46" t="str" cm="1">
        <f t="array" ref="D91">_xlfn.XLOOKUP(C91,customers[Customer ID],customers[Gender],"")</f>
        <v>Male</v>
      </c>
      <c r="E91" s="46" cm="1">
        <f t="array" ref="E91">_xlfn.XLOOKUP(C91,customers[Customer ID],customers[Age],"")</f>
        <v>36</v>
      </c>
      <c r="F91" s="46" t="str" cm="1">
        <f t="array" ref="F91">_xlfn.XLOOKUP(C91,customers[Customer ID],customers[City],"")</f>
        <v>Cincinnati</v>
      </c>
      <c r="G91">
        <v>47</v>
      </c>
      <c r="H91" s="47" t="s">
        <v>37</v>
      </c>
      <c r="I91" s="48">
        <v>44959</v>
      </c>
      <c r="J91">
        <v>34</v>
      </c>
      <c r="K91">
        <v>2.1</v>
      </c>
      <c r="L91">
        <f>IF(MONTH(calls[[#This Row],[Date of Call]])&lt;=6,YEAR(calls[[#This Row],[Date of Call]]),YEAR(calls[[#This Row],[Date of Call]])+1)</f>
        <v>2023</v>
      </c>
      <c r="M91" t="str">
        <f>TEXT(calls[[#This Row],[Date of Call]],"DDDD")</f>
        <v>Thursday</v>
      </c>
      <c r="N91" t="str" cm="1">
        <f t="array" ref="N9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1">
        <f>ROUND(calls[[#This Row],[Satisfaction Rating]],0)</f>
        <v>2</v>
      </c>
      <c r="P91" s="53">
        <f t="shared" si="1"/>
        <v>307</v>
      </c>
    </row>
    <row r="92" spans="2:16">
      <c r="B92" t="s">
        <v>172</v>
      </c>
      <c r="C92" t="s">
        <v>65</v>
      </c>
      <c r="D92" s="46" t="str" cm="1">
        <f t="array" ref="D92">_xlfn.XLOOKUP(C92,customers[Customer ID],customers[Gender],"")</f>
        <v>Female</v>
      </c>
      <c r="E92" s="46" cm="1">
        <f t="array" ref="E92">_xlfn.XLOOKUP(C92,customers[Customer ID],customers[Age],"")</f>
        <v>42</v>
      </c>
      <c r="F92" s="46" t="str" cm="1">
        <f t="array" ref="F92">_xlfn.XLOOKUP(C92,customers[Customer ID],customers[City],"")</f>
        <v>Cleveland</v>
      </c>
      <c r="G92">
        <v>87</v>
      </c>
      <c r="H92" s="47" t="s">
        <v>36</v>
      </c>
      <c r="I92" s="48">
        <v>44959</v>
      </c>
      <c r="J92">
        <v>155</v>
      </c>
      <c r="K92">
        <v>4.5</v>
      </c>
      <c r="L92">
        <f>IF(MONTH(calls[[#This Row],[Date of Call]])&lt;=6,YEAR(calls[[#This Row],[Date of Call]]),YEAR(calls[[#This Row],[Date of Call]])+1)</f>
        <v>2023</v>
      </c>
      <c r="M92" t="str">
        <f>TEXT(calls[[#This Row],[Date of Call]],"DDDD")</f>
        <v>Thursday</v>
      </c>
      <c r="N92" t="str" cm="1">
        <f t="array" ref="N9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2">
        <f>ROUND(calls[[#This Row],[Satisfaction Rating]],0)</f>
        <v>5</v>
      </c>
      <c r="P92" s="53">
        <f t="shared" si="1"/>
        <v>307</v>
      </c>
    </row>
    <row r="93" spans="2:16">
      <c r="B93" t="s">
        <v>173</v>
      </c>
      <c r="C93" t="s">
        <v>73</v>
      </c>
      <c r="D93" s="46" t="str" cm="1">
        <f t="array" ref="D93">_xlfn.XLOOKUP(C93,customers[Customer ID],customers[Gender],"")</f>
        <v>Female</v>
      </c>
      <c r="E93" s="46" cm="1">
        <f t="array" ref="E93">_xlfn.XLOOKUP(C93,customers[Customer ID],customers[Age],"")</f>
        <v>38</v>
      </c>
      <c r="F93" s="46" t="str" cm="1">
        <f t="array" ref="F93">_xlfn.XLOOKUP(C93,customers[Customer ID],customers[City],"")</f>
        <v>Columbus</v>
      </c>
      <c r="G93">
        <v>143</v>
      </c>
      <c r="H93" s="47" t="s">
        <v>36</v>
      </c>
      <c r="I93" s="48">
        <v>44961</v>
      </c>
      <c r="J93">
        <v>124</v>
      </c>
      <c r="K93">
        <v>4.9</v>
      </c>
      <c r="L93">
        <f>IF(MONTH(calls[[#This Row],[Date of Call]])&lt;=6,YEAR(calls[[#This Row],[Date of Call]]),YEAR(calls[[#This Row],[Date of Call]])+1)</f>
        <v>2023</v>
      </c>
      <c r="M93" t="str">
        <f>TEXT(calls[[#This Row],[Date of Call]],"DDDD")</f>
        <v>Saturday</v>
      </c>
      <c r="N93" t="str" cm="1">
        <f t="array" ref="N9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3">
        <f>ROUND(calls[[#This Row],[Satisfaction Rating]],0)</f>
        <v>5</v>
      </c>
      <c r="P93" s="53">
        <f t="shared" si="1"/>
        <v>307</v>
      </c>
    </row>
    <row r="94" spans="2:16">
      <c r="B94" t="s">
        <v>174</v>
      </c>
      <c r="C94" t="s">
        <v>68</v>
      </c>
      <c r="D94" s="46" t="str" cm="1">
        <f t="array" ref="D94">_xlfn.XLOOKUP(C94,customers[Customer ID],customers[Gender],"")</f>
        <v>Female</v>
      </c>
      <c r="E94" s="46" cm="1">
        <f t="array" ref="E94">_xlfn.XLOOKUP(C94,customers[Customer ID],customers[Age],"")</f>
        <v>43</v>
      </c>
      <c r="F94" s="46" t="str" cm="1">
        <f t="array" ref="F94">_xlfn.XLOOKUP(C94,customers[Customer ID],customers[City],"")</f>
        <v>Cleveland</v>
      </c>
      <c r="G94">
        <v>84</v>
      </c>
      <c r="H94" s="47" t="s">
        <v>40</v>
      </c>
      <c r="I94" s="48">
        <v>44961</v>
      </c>
      <c r="J94">
        <v>195</v>
      </c>
      <c r="K94">
        <v>4.1</v>
      </c>
      <c r="L94">
        <f>IF(MONTH(calls[[#This Row],[Date of Call]])&lt;=6,YEAR(calls[[#This Row],[Date of Call]]),YEAR(calls[[#This Row],[Date of Call]])+1)</f>
        <v>2023</v>
      </c>
      <c r="M94" t="str">
        <f>TEXT(calls[[#This Row],[Date of Call]],"DDDD")</f>
        <v>Saturday</v>
      </c>
      <c r="N94" t="str" cm="1">
        <f t="array" ref="N9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4">
        <f>ROUND(calls[[#This Row],[Satisfaction Rating]],0)</f>
        <v>4</v>
      </c>
      <c r="P94" s="53">
        <f t="shared" si="1"/>
        <v>307</v>
      </c>
    </row>
    <row r="95" spans="2:16">
      <c r="B95" t="s">
        <v>175</v>
      </c>
      <c r="C95" t="s">
        <v>69</v>
      </c>
      <c r="D95" s="46" t="str" cm="1">
        <f t="array" ref="D95">_xlfn.XLOOKUP(C95,customers[Customer ID],customers[Gender],"")</f>
        <v>Male</v>
      </c>
      <c r="E95" s="46" cm="1">
        <f t="array" ref="E95">_xlfn.XLOOKUP(C95,customers[Customer ID],customers[Age],"")</f>
        <v>41</v>
      </c>
      <c r="F95" s="46" t="str" cm="1">
        <f t="array" ref="F95">_xlfn.XLOOKUP(C95,customers[Customer ID],customers[City],"")</f>
        <v>Columbus</v>
      </c>
      <c r="G95">
        <v>55</v>
      </c>
      <c r="H95" s="47" t="s">
        <v>36</v>
      </c>
      <c r="I95" s="48">
        <v>44962</v>
      </c>
      <c r="J95">
        <v>78</v>
      </c>
      <c r="K95">
        <v>4.5</v>
      </c>
      <c r="L95">
        <f>IF(MONTH(calls[[#This Row],[Date of Call]])&lt;=6,YEAR(calls[[#This Row],[Date of Call]]),YEAR(calls[[#This Row],[Date of Call]])+1)</f>
        <v>2023</v>
      </c>
      <c r="M95" t="str">
        <f>TEXT(calls[[#This Row],[Date of Call]],"DDDD")</f>
        <v>Sunday</v>
      </c>
      <c r="N95" t="str" cm="1">
        <f t="array" ref="N9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5">
        <f>ROUND(calls[[#This Row],[Satisfaction Rating]],0)</f>
        <v>5</v>
      </c>
      <c r="P95" s="53">
        <f t="shared" si="1"/>
        <v>307</v>
      </c>
    </row>
    <row r="96" spans="2:16">
      <c r="B96" t="s">
        <v>176</v>
      </c>
      <c r="C96" t="s">
        <v>64</v>
      </c>
      <c r="D96" s="46" t="str" cm="1">
        <f t="array" ref="D96">_xlfn.XLOOKUP(C96,customers[Customer ID],customers[Gender],"")</f>
        <v>Female</v>
      </c>
      <c r="E96" s="46" cm="1">
        <f t="array" ref="E96">_xlfn.XLOOKUP(C96,customers[Customer ID],customers[Age],"")</f>
        <v>22</v>
      </c>
      <c r="F96" s="46" t="str" cm="1">
        <f t="array" ref="F96">_xlfn.XLOOKUP(C96,customers[Customer ID],customers[City],"")</f>
        <v>Cleveland</v>
      </c>
      <c r="G96">
        <v>135</v>
      </c>
      <c r="H96" s="47" t="s">
        <v>39</v>
      </c>
      <c r="I96" s="48">
        <v>44964</v>
      </c>
      <c r="J96">
        <v>35</v>
      </c>
      <c r="K96">
        <v>4.8</v>
      </c>
      <c r="L96">
        <f>IF(MONTH(calls[[#This Row],[Date of Call]])&lt;=6,YEAR(calls[[#This Row],[Date of Call]]),YEAR(calls[[#This Row],[Date of Call]])+1)</f>
        <v>2023</v>
      </c>
      <c r="M96" t="str">
        <f>TEXT(calls[[#This Row],[Date of Call]],"DDDD")</f>
        <v>Tuesday</v>
      </c>
      <c r="N96" t="str" cm="1">
        <f t="array" ref="N9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6">
        <f>ROUND(calls[[#This Row],[Satisfaction Rating]],0)</f>
        <v>5</v>
      </c>
      <c r="P96" s="53">
        <f t="shared" si="1"/>
        <v>307</v>
      </c>
    </row>
    <row r="97" spans="2:16">
      <c r="B97" t="s">
        <v>177</v>
      </c>
      <c r="C97" t="s">
        <v>62</v>
      </c>
      <c r="D97" s="46" t="str" cm="1">
        <f t="array" ref="D97">_xlfn.XLOOKUP(C97,customers[Customer ID],customers[Gender],"")</f>
        <v>Female</v>
      </c>
      <c r="E97" s="46" cm="1">
        <f t="array" ref="E97">_xlfn.XLOOKUP(C97,customers[Customer ID],customers[Age],"")</f>
        <v>28</v>
      </c>
      <c r="F97" s="46" t="str" cm="1">
        <f t="array" ref="F97">_xlfn.XLOOKUP(C97,customers[Customer ID],customers[City],"")</f>
        <v>Cincinnati</v>
      </c>
      <c r="G97">
        <v>152</v>
      </c>
      <c r="H97" s="47" t="s">
        <v>37</v>
      </c>
      <c r="I97" s="48">
        <v>44964</v>
      </c>
      <c r="J97">
        <v>123</v>
      </c>
      <c r="K97">
        <v>4.6</v>
      </c>
      <c r="L97">
        <f>IF(MONTH(calls[[#This Row],[Date of Call]])&lt;=6,YEAR(calls[[#This Row],[Date of Call]]),YEAR(calls[[#This Row],[Date of Call]])+1)</f>
        <v>2023</v>
      </c>
      <c r="M97" t="str">
        <f>TEXT(calls[[#This Row],[Date of Call]],"DDDD")</f>
        <v>Tuesday</v>
      </c>
      <c r="N97" t="str" cm="1">
        <f t="array" ref="N9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7">
        <f>ROUND(calls[[#This Row],[Satisfaction Rating]],0)</f>
        <v>5</v>
      </c>
      <c r="P97" s="53">
        <f t="shared" si="1"/>
        <v>307</v>
      </c>
    </row>
    <row r="98" spans="2:16">
      <c r="B98" t="s">
        <v>178</v>
      </c>
      <c r="C98" t="s">
        <v>70</v>
      </c>
      <c r="D98" s="46" t="str" cm="1">
        <f t="array" ref="D98">_xlfn.XLOOKUP(C98,customers[Customer ID],customers[Gender],"")</f>
        <v>Male</v>
      </c>
      <c r="E98" s="46" cm="1">
        <f t="array" ref="E98">_xlfn.XLOOKUP(C98,customers[Customer ID],customers[Age],"")</f>
        <v>37</v>
      </c>
      <c r="F98" s="46" t="str" cm="1">
        <f t="array" ref="F98">_xlfn.XLOOKUP(C98,customers[Customer ID],customers[City],"")</f>
        <v>Columbus</v>
      </c>
      <c r="G98">
        <v>132</v>
      </c>
      <c r="H98" s="47" t="s">
        <v>37</v>
      </c>
      <c r="I98" s="48">
        <v>44964</v>
      </c>
      <c r="J98">
        <v>43</v>
      </c>
      <c r="K98">
        <v>4.6</v>
      </c>
      <c r="L98">
        <f>IF(MONTH(calls[[#This Row],[Date of Call]])&lt;=6,YEAR(calls[[#This Row],[Date of Call]]),YEAR(calls[[#This Row],[Date of Call]])+1)</f>
        <v>2023</v>
      </c>
      <c r="M98" t="str">
        <f>TEXT(calls[[#This Row],[Date of Call]],"DDDD")</f>
        <v>Tuesday</v>
      </c>
      <c r="N98" t="str" cm="1">
        <f t="array" ref="N9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8">
        <f>ROUND(calls[[#This Row],[Satisfaction Rating]],0)</f>
        <v>5</v>
      </c>
      <c r="P98" s="53">
        <f t="shared" si="1"/>
        <v>307</v>
      </c>
    </row>
    <row r="99" spans="2:16">
      <c r="B99" t="s">
        <v>179</v>
      </c>
      <c r="C99" t="s">
        <v>71</v>
      </c>
      <c r="D99" s="46" t="str" cm="1">
        <f t="array" ref="D99">_xlfn.XLOOKUP(C99,customers[Customer ID],customers[Gender],"")</f>
        <v>Male</v>
      </c>
      <c r="E99" s="46" cm="1">
        <f t="array" ref="E99">_xlfn.XLOOKUP(C99,customers[Customer ID],customers[Age],"")</f>
        <v>23</v>
      </c>
      <c r="F99" s="46" t="str" cm="1">
        <f t="array" ref="F99">_xlfn.XLOOKUP(C99,customers[Customer ID],customers[City],"")</f>
        <v>Columbus</v>
      </c>
      <c r="G99">
        <v>60</v>
      </c>
      <c r="H99" s="47" t="s">
        <v>40</v>
      </c>
      <c r="I99" s="48">
        <v>44965</v>
      </c>
      <c r="J99">
        <v>69</v>
      </c>
      <c r="K99">
        <v>4.3</v>
      </c>
      <c r="L99">
        <f>IF(MONTH(calls[[#This Row],[Date of Call]])&lt;=6,YEAR(calls[[#This Row],[Date of Call]]),YEAR(calls[[#This Row],[Date of Call]])+1)</f>
        <v>2023</v>
      </c>
      <c r="M99" t="str">
        <f>TEXT(calls[[#This Row],[Date of Call]],"DDDD")</f>
        <v>Wednesday</v>
      </c>
      <c r="N99" t="str" cm="1">
        <f t="array" ref="N9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9">
        <f>ROUND(calls[[#This Row],[Satisfaction Rating]],0)</f>
        <v>4</v>
      </c>
      <c r="P99" s="53">
        <f t="shared" si="1"/>
        <v>307</v>
      </c>
    </row>
    <row r="100" spans="2:16">
      <c r="B100" t="s">
        <v>180</v>
      </c>
      <c r="C100" t="s">
        <v>62</v>
      </c>
      <c r="D100" s="46" t="str" cm="1">
        <f t="array" ref="D100">_xlfn.XLOOKUP(C100,customers[Customer ID],customers[Gender],"")</f>
        <v>Female</v>
      </c>
      <c r="E100" s="46" cm="1">
        <f t="array" ref="E100">_xlfn.XLOOKUP(C100,customers[Customer ID],customers[Age],"")</f>
        <v>28</v>
      </c>
      <c r="F100" s="46" t="str" cm="1">
        <f t="array" ref="F100">_xlfn.XLOOKUP(C100,customers[Customer ID],customers[City],"")</f>
        <v>Cincinnati</v>
      </c>
      <c r="G100">
        <v>95</v>
      </c>
      <c r="H100" s="47" t="s">
        <v>37</v>
      </c>
      <c r="I100" s="48">
        <v>44965</v>
      </c>
      <c r="J100">
        <v>130</v>
      </c>
      <c r="K100">
        <v>5</v>
      </c>
      <c r="L100">
        <f>IF(MONTH(calls[[#This Row],[Date of Call]])&lt;=6,YEAR(calls[[#This Row],[Date of Call]]),YEAR(calls[[#This Row],[Date of Call]])+1)</f>
        <v>2023</v>
      </c>
      <c r="M100" t="str">
        <f>TEXT(calls[[#This Row],[Date of Call]],"DDDD")</f>
        <v>Wednesday</v>
      </c>
      <c r="N100" t="str" cm="1">
        <f t="array" ref="N1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00">
        <f>ROUND(calls[[#This Row],[Satisfaction Rating]],0)</f>
        <v>5</v>
      </c>
      <c r="P100" s="53">
        <f t="shared" si="1"/>
        <v>307</v>
      </c>
    </row>
    <row r="101" spans="2:16">
      <c r="B101" t="s">
        <v>181</v>
      </c>
      <c r="C101" t="s">
        <v>59</v>
      </c>
      <c r="D101" s="46" t="str" cm="1">
        <f t="array" ref="D101">_xlfn.XLOOKUP(C101,customers[Customer ID],customers[Gender],"")</f>
        <v>Male</v>
      </c>
      <c r="E101" s="46" cm="1">
        <f t="array" ref="E101">_xlfn.XLOOKUP(C101,customers[Customer ID],customers[Age],"")</f>
        <v>26</v>
      </c>
      <c r="F101" s="46" t="str" cm="1">
        <f t="array" ref="F101">_xlfn.XLOOKUP(C101,customers[Customer ID],customers[City],"")</f>
        <v>Cincinnati</v>
      </c>
      <c r="G101">
        <v>96</v>
      </c>
      <c r="H101" s="47" t="s">
        <v>38</v>
      </c>
      <c r="I101" s="48">
        <v>44965</v>
      </c>
      <c r="J101">
        <v>120</v>
      </c>
      <c r="K101">
        <v>4</v>
      </c>
      <c r="L101">
        <f>IF(MONTH(calls[[#This Row],[Date of Call]])&lt;=6,YEAR(calls[[#This Row],[Date of Call]]),YEAR(calls[[#This Row],[Date of Call]])+1)</f>
        <v>2023</v>
      </c>
      <c r="M101" t="str">
        <f>TEXT(calls[[#This Row],[Date of Call]],"DDDD")</f>
        <v>Wednesday</v>
      </c>
      <c r="N101" t="str" cm="1">
        <f t="array" ref="N1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01">
        <f>ROUND(calls[[#This Row],[Satisfaction Rating]],0)</f>
        <v>4</v>
      </c>
      <c r="P101" s="53">
        <f t="shared" si="1"/>
        <v>307</v>
      </c>
    </row>
    <row r="102" spans="2:16">
      <c r="B102" t="s">
        <v>182</v>
      </c>
      <c r="C102" t="s">
        <v>69</v>
      </c>
      <c r="D102" s="46" t="str" cm="1">
        <f t="array" ref="D102">_xlfn.XLOOKUP(C102,customers[Customer ID],customers[Gender],"")</f>
        <v>Male</v>
      </c>
      <c r="E102" s="46" cm="1">
        <f t="array" ref="E102">_xlfn.XLOOKUP(C102,customers[Customer ID],customers[Age],"")</f>
        <v>41</v>
      </c>
      <c r="F102" s="46" t="str" cm="1">
        <f t="array" ref="F102">_xlfn.XLOOKUP(C102,customers[Customer ID],customers[City],"")</f>
        <v>Columbus</v>
      </c>
      <c r="G102">
        <v>45</v>
      </c>
      <c r="H102" s="47" t="s">
        <v>40</v>
      </c>
      <c r="I102" s="48">
        <v>44966</v>
      </c>
      <c r="J102">
        <v>84</v>
      </c>
      <c r="K102">
        <v>4.6</v>
      </c>
      <c r="L102">
        <f>IF(MONTH(calls[[#This Row],[Date of Call]])&lt;=6,YEAR(calls[[#This Row],[Date of Call]]),YEAR(calls[[#This Row],[Date of Call]])+1)</f>
        <v>2023</v>
      </c>
      <c r="M102" t="str">
        <f>TEXT(calls[[#This Row],[Date of Call]],"DDDD")</f>
        <v>Thursday</v>
      </c>
      <c r="N102" t="str" cm="1">
        <f t="array" ref="N10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02">
        <f>ROUND(calls[[#This Row],[Satisfaction Rating]],0)</f>
        <v>5</v>
      </c>
      <c r="P102" s="53">
        <f t="shared" si="1"/>
        <v>307</v>
      </c>
    </row>
    <row r="103" spans="2:16">
      <c r="B103" t="s">
        <v>183</v>
      </c>
      <c r="C103" t="s">
        <v>59</v>
      </c>
      <c r="D103" s="46" t="str" cm="1">
        <f t="array" ref="D103">_xlfn.XLOOKUP(C103,customers[Customer ID],customers[Gender],"")</f>
        <v>Male</v>
      </c>
      <c r="E103" s="46" cm="1">
        <f t="array" ref="E103">_xlfn.XLOOKUP(C103,customers[Customer ID],customers[Age],"")</f>
        <v>26</v>
      </c>
      <c r="F103" s="46" t="str" cm="1">
        <f t="array" ref="F103">_xlfn.XLOOKUP(C103,customers[Customer ID],customers[City],"")</f>
        <v>Cincinnati</v>
      </c>
      <c r="G103">
        <v>132</v>
      </c>
      <c r="H103" s="47" t="s">
        <v>38</v>
      </c>
      <c r="I103" s="48">
        <v>44967</v>
      </c>
      <c r="J103">
        <v>112</v>
      </c>
      <c r="K103">
        <v>4.5</v>
      </c>
      <c r="L103">
        <f>IF(MONTH(calls[[#This Row],[Date of Call]])&lt;=6,YEAR(calls[[#This Row],[Date of Call]]),YEAR(calls[[#This Row],[Date of Call]])+1)</f>
        <v>2023</v>
      </c>
      <c r="M103" t="str">
        <f>TEXT(calls[[#This Row],[Date of Call]],"DDDD")</f>
        <v>Friday</v>
      </c>
      <c r="N103" t="str" cm="1">
        <f t="array" ref="N10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03">
        <f>ROUND(calls[[#This Row],[Satisfaction Rating]],0)</f>
        <v>5</v>
      </c>
      <c r="P103" s="53">
        <f t="shared" si="1"/>
        <v>307</v>
      </c>
    </row>
    <row r="104" spans="2:16">
      <c r="B104" t="s">
        <v>184</v>
      </c>
      <c r="C104" t="s">
        <v>67</v>
      </c>
      <c r="D104" s="46" t="str" cm="1">
        <f t="array" ref="D104">_xlfn.XLOOKUP(C104,customers[Customer ID],customers[Gender],"")</f>
        <v>Female</v>
      </c>
      <c r="E104" s="46" cm="1">
        <f t="array" ref="E104">_xlfn.XLOOKUP(C104,customers[Customer ID],customers[Age],"")</f>
        <v>37</v>
      </c>
      <c r="F104" s="46" t="str" cm="1">
        <f t="array" ref="F104">_xlfn.XLOOKUP(C104,customers[Customer ID],customers[City],"")</f>
        <v>Cleveland</v>
      </c>
      <c r="G104">
        <v>95</v>
      </c>
      <c r="H104" s="47" t="s">
        <v>40</v>
      </c>
      <c r="I104" s="48">
        <v>44967</v>
      </c>
      <c r="J104">
        <v>66</v>
      </c>
      <c r="K104">
        <v>4.6</v>
      </c>
      <c r="L104">
        <f>IF(MONTH(calls[[#This Row],[Date of Call]])&lt;=6,YEAR(calls[[#This Row],[Date of Call]]),YEAR(calls[[#This Row],[Date of Call]])+1)</f>
        <v>2023</v>
      </c>
      <c r="M104" t="str">
        <f>TEXT(calls[[#This Row],[Date of Call]],"DDDD")</f>
        <v>Friday</v>
      </c>
      <c r="N104" t="str" cm="1">
        <f t="array" ref="N10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04">
        <f>ROUND(calls[[#This Row],[Satisfaction Rating]],0)</f>
        <v>5</v>
      </c>
      <c r="P104" s="53">
        <f t="shared" si="1"/>
        <v>307</v>
      </c>
    </row>
    <row r="105" spans="2:16">
      <c r="B105" t="s">
        <v>185</v>
      </c>
      <c r="C105" t="s">
        <v>62</v>
      </c>
      <c r="D105" s="46" t="str" cm="1">
        <f t="array" ref="D105">_xlfn.XLOOKUP(C105,customers[Customer ID],customers[Gender],"")</f>
        <v>Female</v>
      </c>
      <c r="E105" s="46" cm="1">
        <f t="array" ref="E105">_xlfn.XLOOKUP(C105,customers[Customer ID],customers[Age],"")</f>
        <v>28</v>
      </c>
      <c r="F105" s="46" t="str" cm="1">
        <f t="array" ref="F105">_xlfn.XLOOKUP(C105,customers[Customer ID],customers[City],"")</f>
        <v>Cincinnati</v>
      </c>
      <c r="G105">
        <v>131</v>
      </c>
      <c r="H105" s="47" t="s">
        <v>36</v>
      </c>
      <c r="I105" s="48">
        <v>44967</v>
      </c>
      <c r="J105">
        <v>172</v>
      </c>
      <c r="K105">
        <v>2.6</v>
      </c>
      <c r="L105">
        <f>IF(MONTH(calls[[#This Row],[Date of Call]])&lt;=6,YEAR(calls[[#This Row],[Date of Call]]),YEAR(calls[[#This Row],[Date of Call]])+1)</f>
        <v>2023</v>
      </c>
      <c r="M105" t="str">
        <f>TEXT(calls[[#This Row],[Date of Call]],"DDDD")</f>
        <v>Friday</v>
      </c>
      <c r="N105" t="str" cm="1">
        <f t="array" ref="N10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05">
        <f>ROUND(calls[[#This Row],[Satisfaction Rating]],0)</f>
        <v>3</v>
      </c>
      <c r="P105" s="53">
        <f t="shared" si="1"/>
        <v>307</v>
      </c>
    </row>
    <row r="106" spans="2:16">
      <c r="B106" t="s">
        <v>186</v>
      </c>
      <c r="C106" t="s">
        <v>72</v>
      </c>
      <c r="D106" s="46" t="str" cm="1">
        <f t="array" ref="D106">_xlfn.XLOOKUP(C106,customers[Customer ID],customers[Gender],"")</f>
        <v>Female</v>
      </c>
      <c r="E106" s="46" cm="1">
        <f t="array" ref="E106">_xlfn.XLOOKUP(C106,customers[Customer ID],customers[Age],"")</f>
        <v>25</v>
      </c>
      <c r="F106" s="46" t="str" cm="1">
        <f t="array" ref="F106">_xlfn.XLOOKUP(C106,customers[Customer ID],customers[City],"")</f>
        <v>Columbus</v>
      </c>
      <c r="G106">
        <v>67</v>
      </c>
      <c r="H106" s="47" t="s">
        <v>39</v>
      </c>
      <c r="I106" s="48">
        <v>44968</v>
      </c>
      <c r="J106">
        <v>24</v>
      </c>
      <c r="K106">
        <v>4.3</v>
      </c>
      <c r="L106">
        <f>IF(MONTH(calls[[#This Row],[Date of Call]])&lt;=6,YEAR(calls[[#This Row],[Date of Call]]),YEAR(calls[[#This Row],[Date of Call]])+1)</f>
        <v>2023</v>
      </c>
      <c r="M106" t="str">
        <f>TEXT(calls[[#This Row],[Date of Call]],"DDDD")</f>
        <v>Saturday</v>
      </c>
      <c r="N106" t="str" cm="1">
        <f t="array" ref="N10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06">
        <f>ROUND(calls[[#This Row],[Satisfaction Rating]],0)</f>
        <v>4</v>
      </c>
      <c r="P106" s="53">
        <f t="shared" si="1"/>
        <v>307</v>
      </c>
    </row>
    <row r="107" spans="2:16">
      <c r="B107" t="s">
        <v>187</v>
      </c>
      <c r="C107" t="s">
        <v>73</v>
      </c>
      <c r="D107" s="46" t="str" cm="1">
        <f t="array" ref="D107">_xlfn.XLOOKUP(C107,customers[Customer ID],customers[Gender],"")</f>
        <v>Female</v>
      </c>
      <c r="E107" s="46" cm="1">
        <f t="array" ref="E107">_xlfn.XLOOKUP(C107,customers[Customer ID],customers[Age],"")</f>
        <v>38</v>
      </c>
      <c r="F107" s="46" t="str" cm="1">
        <f t="array" ref="F107">_xlfn.XLOOKUP(C107,customers[Customer ID],customers[City],"")</f>
        <v>Columbus</v>
      </c>
      <c r="G107">
        <v>111</v>
      </c>
      <c r="H107" s="47" t="s">
        <v>36</v>
      </c>
      <c r="I107" s="48">
        <v>44969</v>
      </c>
      <c r="J107">
        <v>43</v>
      </c>
      <c r="K107">
        <v>3.9</v>
      </c>
      <c r="L107">
        <f>IF(MONTH(calls[[#This Row],[Date of Call]])&lt;=6,YEAR(calls[[#This Row],[Date of Call]]),YEAR(calls[[#This Row],[Date of Call]])+1)</f>
        <v>2023</v>
      </c>
      <c r="M107" t="str">
        <f>TEXT(calls[[#This Row],[Date of Call]],"DDDD")</f>
        <v>Sunday</v>
      </c>
      <c r="N107" t="str" cm="1">
        <f t="array" ref="N1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07">
        <f>ROUND(calls[[#This Row],[Satisfaction Rating]],0)</f>
        <v>4</v>
      </c>
      <c r="P107" s="53">
        <f t="shared" si="1"/>
        <v>307</v>
      </c>
    </row>
    <row r="108" spans="2:16">
      <c r="B108" t="s">
        <v>188</v>
      </c>
      <c r="C108" t="s">
        <v>70</v>
      </c>
      <c r="D108" s="46" t="str" cm="1">
        <f t="array" ref="D108">_xlfn.XLOOKUP(C108,customers[Customer ID],customers[Gender],"")</f>
        <v>Male</v>
      </c>
      <c r="E108" s="46" cm="1">
        <f t="array" ref="E108">_xlfn.XLOOKUP(C108,customers[Customer ID],customers[Age],"")</f>
        <v>37</v>
      </c>
      <c r="F108" s="46" t="str" cm="1">
        <f t="array" ref="F108">_xlfn.XLOOKUP(C108,customers[Customer ID],customers[City],"")</f>
        <v>Columbus</v>
      </c>
      <c r="G108">
        <v>78</v>
      </c>
      <c r="H108" s="47" t="s">
        <v>37</v>
      </c>
      <c r="I108" s="48">
        <v>44969</v>
      </c>
      <c r="J108">
        <v>23</v>
      </c>
      <c r="K108">
        <v>5</v>
      </c>
      <c r="L108">
        <f>IF(MONTH(calls[[#This Row],[Date of Call]])&lt;=6,YEAR(calls[[#This Row],[Date of Call]]),YEAR(calls[[#This Row],[Date of Call]])+1)</f>
        <v>2023</v>
      </c>
      <c r="M108" t="str">
        <f>TEXT(calls[[#This Row],[Date of Call]],"DDDD")</f>
        <v>Sunday</v>
      </c>
      <c r="N108" t="str" cm="1">
        <f t="array" ref="N10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08">
        <f>ROUND(calls[[#This Row],[Satisfaction Rating]],0)</f>
        <v>5</v>
      </c>
      <c r="P108" s="53">
        <f t="shared" si="1"/>
        <v>307</v>
      </c>
    </row>
    <row r="109" spans="2:16">
      <c r="B109" t="s">
        <v>189</v>
      </c>
      <c r="C109" t="s">
        <v>63</v>
      </c>
      <c r="D109" s="46" t="str" cm="1">
        <f t="array" ref="D109">_xlfn.XLOOKUP(C109,customers[Customer ID],customers[Gender],"")</f>
        <v>Male</v>
      </c>
      <c r="E109" s="46" cm="1">
        <f t="array" ref="E109">_xlfn.XLOOKUP(C109,customers[Customer ID],customers[Age],"")</f>
        <v>31</v>
      </c>
      <c r="F109" s="46" t="str" cm="1">
        <f t="array" ref="F109">_xlfn.XLOOKUP(C109,customers[Customer ID],customers[City],"")</f>
        <v>Cleveland</v>
      </c>
      <c r="G109">
        <v>28</v>
      </c>
      <c r="H109" s="47" t="s">
        <v>38</v>
      </c>
      <c r="I109" s="48">
        <v>44969</v>
      </c>
      <c r="J109">
        <v>74</v>
      </c>
      <c r="K109">
        <v>3.5</v>
      </c>
      <c r="L109">
        <f>IF(MONTH(calls[[#This Row],[Date of Call]])&lt;=6,YEAR(calls[[#This Row],[Date of Call]]),YEAR(calls[[#This Row],[Date of Call]])+1)</f>
        <v>2023</v>
      </c>
      <c r="M109" t="str">
        <f>TEXT(calls[[#This Row],[Date of Call]],"DDDD")</f>
        <v>Sunday</v>
      </c>
      <c r="N109" t="str" cm="1">
        <f t="array" ref="N10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109">
        <f>ROUND(calls[[#This Row],[Satisfaction Rating]],0)</f>
        <v>4</v>
      </c>
      <c r="P109" s="53">
        <f t="shared" si="1"/>
        <v>307</v>
      </c>
    </row>
    <row r="110" spans="2:16">
      <c r="B110" t="s">
        <v>190</v>
      </c>
      <c r="C110" t="s">
        <v>60</v>
      </c>
      <c r="D110" s="46" t="str" cm="1">
        <f t="array" ref="D110">_xlfn.XLOOKUP(C110,customers[Customer ID],customers[Gender],"")</f>
        <v>Male</v>
      </c>
      <c r="E110" s="46" cm="1">
        <f t="array" ref="E110">_xlfn.XLOOKUP(C110,customers[Customer ID],customers[Age],"")</f>
        <v>36</v>
      </c>
      <c r="F110" s="46" t="str" cm="1">
        <f t="array" ref="F110">_xlfn.XLOOKUP(C110,customers[Customer ID],customers[City],"")</f>
        <v>Cincinnati</v>
      </c>
      <c r="G110">
        <v>127</v>
      </c>
      <c r="H110" s="47" t="s">
        <v>39</v>
      </c>
      <c r="I110" s="48">
        <v>44970</v>
      </c>
      <c r="J110">
        <v>165</v>
      </c>
      <c r="K110">
        <v>4.7</v>
      </c>
      <c r="L110">
        <f>IF(MONTH(calls[[#This Row],[Date of Call]])&lt;=6,YEAR(calls[[#This Row],[Date of Call]]),YEAR(calls[[#This Row],[Date of Call]])+1)</f>
        <v>2023</v>
      </c>
      <c r="M110" t="str">
        <f>TEXT(calls[[#This Row],[Date of Call]],"DDDD")</f>
        <v>Monday</v>
      </c>
      <c r="N110" t="str" cm="1">
        <f t="array" ref="N11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10">
        <f>ROUND(calls[[#This Row],[Satisfaction Rating]],0)</f>
        <v>5</v>
      </c>
      <c r="P110" s="53">
        <f t="shared" si="1"/>
        <v>307</v>
      </c>
    </row>
    <row r="111" spans="2:16">
      <c r="B111" t="s">
        <v>191</v>
      </c>
      <c r="C111" t="s">
        <v>68</v>
      </c>
      <c r="D111" s="46" t="str" cm="1">
        <f t="array" ref="D111">_xlfn.XLOOKUP(C111,customers[Customer ID],customers[Gender],"")</f>
        <v>Female</v>
      </c>
      <c r="E111" s="46" cm="1">
        <f t="array" ref="E111">_xlfn.XLOOKUP(C111,customers[Customer ID],customers[Age],"")</f>
        <v>43</v>
      </c>
      <c r="F111" s="46" t="str" cm="1">
        <f t="array" ref="F111">_xlfn.XLOOKUP(C111,customers[Customer ID],customers[City],"")</f>
        <v>Cleveland</v>
      </c>
      <c r="G111">
        <v>137</v>
      </c>
      <c r="H111" s="47" t="s">
        <v>36</v>
      </c>
      <c r="I111" s="48">
        <v>44970</v>
      </c>
      <c r="J111">
        <v>34</v>
      </c>
      <c r="K111">
        <v>2.9</v>
      </c>
      <c r="L111">
        <f>IF(MONTH(calls[[#This Row],[Date of Call]])&lt;=6,YEAR(calls[[#This Row],[Date of Call]]),YEAR(calls[[#This Row],[Date of Call]])+1)</f>
        <v>2023</v>
      </c>
      <c r="M111" t="str">
        <f>TEXT(calls[[#This Row],[Date of Call]],"DDDD")</f>
        <v>Monday</v>
      </c>
      <c r="N111" t="str" cm="1">
        <f t="array" ref="N11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11">
        <f>ROUND(calls[[#This Row],[Satisfaction Rating]],0)</f>
        <v>3</v>
      </c>
      <c r="P111" s="53">
        <f t="shared" si="1"/>
        <v>307</v>
      </c>
    </row>
    <row r="112" spans="2:16">
      <c r="B112" t="s">
        <v>192</v>
      </c>
      <c r="C112" t="s">
        <v>60</v>
      </c>
      <c r="D112" s="46" t="str" cm="1">
        <f t="array" ref="D112">_xlfn.XLOOKUP(C112,customers[Customer ID],customers[Gender],"")</f>
        <v>Male</v>
      </c>
      <c r="E112" s="46" cm="1">
        <f t="array" ref="E112">_xlfn.XLOOKUP(C112,customers[Customer ID],customers[Age],"")</f>
        <v>36</v>
      </c>
      <c r="F112" s="46" t="str" cm="1">
        <f t="array" ref="F112">_xlfn.XLOOKUP(C112,customers[Customer ID],customers[City],"")</f>
        <v>Cincinnati</v>
      </c>
      <c r="G112">
        <v>76</v>
      </c>
      <c r="H112" s="47" t="s">
        <v>38</v>
      </c>
      <c r="I112" s="48">
        <v>44970</v>
      </c>
      <c r="J112">
        <v>64</v>
      </c>
      <c r="K112">
        <v>3.4</v>
      </c>
      <c r="L112">
        <f>IF(MONTH(calls[[#This Row],[Date of Call]])&lt;=6,YEAR(calls[[#This Row],[Date of Call]]),YEAR(calls[[#This Row],[Date of Call]])+1)</f>
        <v>2023</v>
      </c>
      <c r="M112" t="str">
        <f>TEXT(calls[[#This Row],[Date of Call]],"DDDD")</f>
        <v>Monday</v>
      </c>
      <c r="N112" t="str" cm="1">
        <f t="array" ref="N11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12">
        <f>ROUND(calls[[#This Row],[Satisfaction Rating]],0)</f>
        <v>3</v>
      </c>
      <c r="P112" s="53">
        <f t="shared" si="1"/>
        <v>307</v>
      </c>
    </row>
    <row r="113" spans="2:16">
      <c r="B113" t="s">
        <v>193</v>
      </c>
      <c r="C113" t="s">
        <v>70</v>
      </c>
      <c r="D113" s="46" t="str" cm="1">
        <f t="array" ref="D113">_xlfn.XLOOKUP(C113,customers[Customer ID],customers[Gender],"")</f>
        <v>Male</v>
      </c>
      <c r="E113" s="46" cm="1">
        <f t="array" ref="E113">_xlfn.XLOOKUP(C113,customers[Customer ID],customers[Age],"")</f>
        <v>37</v>
      </c>
      <c r="F113" s="46" t="str" cm="1">
        <f t="array" ref="F113">_xlfn.XLOOKUP(C113,customers[Customer ID],customers[City],"")</f>
        <v>Columbus</v>
      </c>
      <c r="G113">
        <v>80</v>
      </c>
      <c r="H113" s="47" t="s">
        <v>39</v>
      </c>
      <c r="I113" s="48">
        <v>44971</v>
      </c>
      <c r="J113">
        <v>155</v>
      </c>
      <c r="K113">
        <v>3.2</v>
      </c>
      <c r="L113">
        <f>IF(MONTH(calls[[#This Row],[Date of Call]])&lt;=6,YEAR(calls[[#This Row],[Date of Call]]),YEAR(calls[[#This Row],[Date of Call]])+1)</f>
        <v>2023</v>
      </c>
      <c r="M113" t="str">
        <f>TEXT(calls[[#This Row],[Date of Call]],"DDDD")</f>
        <v>Tuesday</v>
      </c>
      <c r="N113" t="str" cm="1">
        <f t="array" ref="N11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13">
        <f>ROUND(calls[[#This Row],[Satisfaction Rating]],0)</f>
        <v>3</v>
      </c>
      <c r="P113" s="53">
        <f t="shared" si="1"/>
        <v>307</v>
      </c>
    </row>
    <row r="114" spans="2:16">
      <c r="B114" t="s">
        <v>194</v>
      </c>
      <c r="C114" t="s">
        <v>60</v>
      </c>
      <c r="D114" s="46" t="str" cm="1">
        <f t="array" ref="D114">_xlfn.XLOOKUP(C114,customers[Customer ID],customers[Gender],"")</f>
        <v>Male</v>
      </c>
      <c r="E114" s="46" cm="1">
        <f t="array" ref="E114">_xlfn.XLOOKUP(C114,customers[Customer ID],customers[Age],"")</f>
        <v>36</v>
      </c>
      <c r="F114" s="46" t="str" cm="1">
        <f t="array" ref="F114">_xlfn.XLOOKUP(C114,customers[Customer ID],customers[City],"")</f>
        <v>Cincinnati</v>
      </c>
      <c r="G114">
        <v>95</v>
      </c>
      <c r="H114" s="47" t="s">
        <v>37</v>
      </c>
      <c r="I114" s="48">
        <v>44972</v>
      </c>
      <c r="J114">
        <v>120</v>
      </c>
      <c r="K114">
        <v>4.8</v>
      </c>
      <c r="L114">
        <f>IF(MONTH(calls[[#This Row],[Date of Call]])&lt;=6,YEAR(calls[[#This Row],[Date of Call]]),YEAR(calls[[#This Row],[Date of Call]])+1)</f>
        <v>2023</v>
      </c>
      <c r="M114" t="str">
        <f>TEXT(calls[[#This Row],[Date of Call]],"DDDD")</f>
        <v>Wednesday</v>
      </c>
      <c r="N114" t="str" cm="1">
        <f t="array" ref="N1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14">
        <f>ROUND(calls[[#This Row],[Satisfaction Rating]],0)</f>
        <v>5</v>
      </c>
      <c r="P114" s="53">
        <f t="shared" si="1"/>
        <v>307</v>
      </c>
    </row>
    <row r="115" spans="2:16">
      <c r="B115" t="s">
        <v>195</v>
      </c>
      <c r="C115" t="s">
        <v>71</v>
      </c>
      <c r="D115" s="46" t="str" cm="1">
        <f t="array" ref="D115">_xlfn.XLOOKUP(C115,customers[Customer ID],customers[Gender],"")</f>
        <v>Male</v>
      </c>
      <c r="E115" s="46" cm="1">
        <f t="array" ref="E115">_xlfn.XLOOKUP(C115,customers[Customer ID],customers[Age],"")</f>
        <v>23</v>
      </c>
      <c r="F115" s="46" t="str" cm="1">
        <f t="array" ref="F115">_xlfn.XLOOKUP(C115,customers[Customer ID],customers[City],"")</f>
        <v>Columbus</v>
      </c>
      <c r="G115">
        <v>30</v>
      </c>
      <c r="H115" s="47" t="s">
        <v>38</v>
      </c>
      <c r="I115" s="48">
        <v>44972</v>
      </c>
      <c r="J115">
        <v>105</v>
      </c>
      <c r="K115">
        <v>3.6</v>
      </c>
      <c r="L115">
        <f>IF(MONTH(calls[[#This Row],[Date of Call]])&lt;=6,YEAR(calls[[#This Row],[Date of Call]]),YEAR(calls[[#This Row],[Date of Call]])+1)</f>
        <v>2023</v>
      </c>
      <c r="M115" t="str">
        <f>TEXT(calls[[#This Row],[Date of Call]],"DDDD")</f>
        <v>Wednesday</v>
      </c>
      <c r="N115" t="str" cm="1">
        <f t="array" ref="N11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115">
        <f>ROUND(calls[[#This Row],[Satisfaction Rating]],0)</f>
        <v>4</v>
      </c>
      <c r="P115" s="53">
        <f t="shared" si="1"/>
        <v>307</v>
      </c>
    </row>
    <row r="116" spans="2:16">
      <c r="B116" t="s">
        <v>196</v>
      </c>
      <c r="C116" t="s">
        <v>61</v>
      </c>
      <c r="D116" s="46" t="str" cm="1">
        <f t="array" ref="D116">_xlfn.XLOOKUP(C116,customers[Customer ID],customers[Gender],"")</f>
        <v>Female</v>
      </c>
      <c r="E116" s="46" cm="1">
        <f t="array" ref="E116">_xlfn.XLOOKUP(C116,customers[Customer ID],customers[Age],"")</f>
        <v>30</v>
      </c>
      <c r="F116" s="46" t="str" cm="1">
        <f t="array" ref="F116">_xlfn.XLOOKUP(C116,customers[Customer ID],customers[City],"")</f>
        <v>Cincinnati</v>
      </c>
      <c r="G116">
        <v>19</v>
      </c>
      <c r="H116" s="47" t="s">
        <v>36</v>
      </c>
      <c r="I116" s="48">
        <v>44972</v>
      </c>
      <c r="J116">
        <v>28</v>
      </c>
      <c r="K116">
        <v>4.9</v>
      </c>
      <c r="L116">
        <f>IF(MONTH(calls[[#This Row],[Date of Call]])&lt;=6,YEAR(calls[[#This Row],[Date of Call]]),YEAR(calls[[#This Row],[Date of Call]])+1)</f>
        <v>2023</v>
      </c>
      <c r="M116" t="str">
        <f>TEXT(calls[[#This Row],[Date of Call]],"DDDD")</f>
        <v>Wednesday</v>
      </c>
      <c r="N116" t="str" cm="1">
        <f t="array" ref="N11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116">
        <f>ROUND(calls[[#This Row],[Satisfaction Rating]],0)</f>
        <v>5</v>
      </c>
      <c r="P116" s="53">
        <f t="shared" si="1"/>
        <v>307</v>
      </c>
    </row>
    <row r="117" spans="2:16">
      <c r="B117" t="s">
        <v>197</v>
      </c>
      <c r="C117" t="s">
        <v>66</v>
      </c>
      <c r="D117" s="46" t="str" cm="1">
        <f t="array" ref="D117">_xlfn.XLOOKUP(C117,customers[Customer ID],customers[Gender],"")</f>
        <v>Female</v>
      </c>
      <c r="E117" s="46" cm="1">
        <f t="array" ref="E117">_xlfn.XLOOKUP(C117,customers[Customer ID],customers[Age],"")</f>
        <v>30</v>
      </c>
      <c r="F117" s="46" t="str" cm="1">
        <f t="array" ref="F117">_xlfn.XLOOKUP(C117,customers[Customer ID],customers[City],"")</f>
        <v>Cleveland</v>
      </c>
      <c r="G117">
        <v>38</v>
      </c>
      <c r="H117" s="47" t="s">
        <v>39</v>
      </c>
      <c r="I117" s="48">
        <v>44972</v>
      </c>
      <c r="J117">
        <v>100</v>
      </c>
      <c r="K117">
        <v>4.8</v>
      </c>
      <c r="L117">
        <f>IF(MONTH(calls[[#This Row],[Date of Call]])&lt;=6,YEAR(calls[[#This Row],[Date of Call]]),YEAR(calls[[#This Row],[Date of Call]])+1)</f>
        <v>2023</v>
      </c>
      <c r="M117" t="str">
        <f>TEXT(calls[[#This Row],[Date of Call]],"DDDD")</f>
        <v>Wednesday</v>
      </c>
      <c r="N117" t="str" cm="1">
        <f t="array" ref="N11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17">
        <f>ROUND(calls[[#This Row],[Satisfaction Rating]],0)</f>
        <v>5</v>
      </c>
      <c r="P117" s="53">
        <f t="shared" si="1"/>
        <v>307</v>
      </c>
    </row>
    <row r="118" spans="2:16">
      <c r="B118" t="s">
        <v>198</v>
      </c>
      <c r="C118" t="s">
        <v>67</v>
      </c>
      <c r="D118" s="46" t="str" cm="1">
        <f t="array" ref="D118">_xlfn.XLOOKUP(C118,customers[Customer ID],customers[Gender],"")</f>
        <v>Female</v>
      </c>
      <c r="E118" s="46" cm="1">
        <f t="array" ref="E118">_xlfn.XLOOKUP(C118,customers[Customer ID],customers[Age],"")</f>
        <v>37</v>
      </c>
      <c r="F118" s="46" t="str" cm="1">
        <f t="array" ref="F118">_xlfn.XLOOKUP(C118,customers[Customer ID],customers[City],"")</f>
        <v>Cleveland</v>
      </c>
      <c r="G118">
        <v>55</v>
      </c>
      <c r="H118" s="47" t="s">
        <v>36</v>
      </c>
      <c r="I118" s="48">
        <v>44972</v>
      </c>
      <c r="J118">
        <v>23</v>
      </c>
      <c r="K118">
        <v>3.6</v>
      </c>
      <c r="L118">
        <f>IF(MONTH(calls[[#This Row],[Date of Call]])&lt;=6,YEAR(calls[[#This Row],[Date of Call]]),YEAR(calls[[#This Row],[Date of Call]])+1)</f>
        <v>2023</v>
      </c>
      <c r="M118" t="str">
        <f>TEXT(calls[[#This Row],[Date of Call]],"DDDD")</f>
        <v>Wednesday</v>
      </c>
      <c r="N118" t="str" cm="1">
        <f t="array" ref="N11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18">
        <f>ROUND(calls[[#This Row],[Satisfaction Rating]],0)</f>
        <v>4</v>
      </c>
      <c r="P118" s="53">
        <f t="shared" si="1"/>
        <v>307</v>
      </c>
    </row>
    <row r="119" spans="2:16">
      <c r="B119" t="s">
        <v>199</v>
      </c>
      <c r="C119" t="s">
        <v>72</v>
      </c>
      <c r="D119" s="46" t="str" cm="1">
        <f t="array" ref="D119">_xlfn.XLOOKUP(C119,customers[Customer ID],customers[Gender],"")</f>
        <v>Female</v>
      </c>
      <c r="E119" s="46" cm="1">
        <f t="array" ref="E119">_xlfn.XLOOKUP(C119,customers[Customer ID],customers[Age],"")</f>
        <v>25</v>
      </c>
      <c r="F119" s="46" t="str" cm="1">
        <f t="array" ref="F119">_xlfn.XLOOKUP(C119,customers[Customer ID],customers[City],"")</f>
        <v>Columbus</v>
      </c>
      <c r="G119">
        <v>27</v>
      </c>
      <c r="H119" s="47" t="s">
        <v>38</v>
      </c>
      <c r="I119" s="48">
        <v>44973</v>
      </c>
      <c r="J119">
        <v>70</v>
      </c>
      <c r="K119">
        <v>3.9</v>
      </c>
      <c r="L119">
        <f>IF(MONTH(calls[[#This Row],[Date of Call]])&lt;=6,YEAR(calls[[#This Row],[Date of Call]]),YEAR(calls[[#This Row],[Date of Call]])+1)</f>
        <v>2023</v>
      </c>
      <c r="M119" t="str">
        <f>TEXT(calls[[#This Row],[Date of Call]],"DDDD")</f>
        <v>Thursday</v>
      </c>
      <c r="N119" t="str" cm="1">
        <f t="array" ref="N11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119">
        <f>ROUND(calls[[#This Row],[Satisfaction Rating]],0)</f>
        <v>4</v>
      </c>
      <c r="P119" s="53">
        <f t="shared" si="1"/>
        <v>307</v>
      </c>
    </row>
    <row r="120" spans="2:16">
      <c r="B120" t="s">
        <v>200</v>
      </c>
      <c r="C120" t="s">
        <v>72</v>
      </c>
      <c r="D120" s="46" t="str" cm="1">
        <f t="array" ref="D120">_xlfn.XLOOKUP(C120,customers[Customer ID],customers[Gender],"")</f>
        <v>Female</v>
      </c>
      <c r="E120" s="46" cm="1">
        <f t="array" ref="E120">_xlfn.XLOOKUP(C120,customers[Customer ID],customers[Age],"")</f>
        <v>25</v>
      </c>
      <c r="F120" s="46" t="str" cm="1">
        <f t="array" ref="F120">_xlfn.XLOOKUP(C120,customers[Customer ID],customers[City],"")</f>
        <v>Columbus</v>
      </c>
      <c r="G120">
        <v>32</v>
      </c>
      <c r="H120" s="47" t="s">
        <v>38</v>
      </c>
      <c r="I120" s="48">
        <v>44973</v>
      </c>
      <c r="J120">
        <v>37</v>
      </c>
      <c r="K120">
        <v>1.9</v>
      </c>
      <c r="L120">
        <f>IF(MONTH(calls[[#This Row],[Date of Call]])&lt;=6,YEAR(calls[[#This Row],[Date of Call]]),YEAR(calls[[#This Row],[Date of Call]])+1)</f>
        <v>2023</v>
      </c>
      <c r="M120" t="str">
        <f>TEXT(calls[[#This Row],[Date of Call]],"DDDD")</f>
        <v>Thursday</v>
      </c>
      <c r="N120" t="str" cm="1">
        <f t="array" ref="N12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20">
        <f>ROUND(calls[[#This Row],[Satisfaction Rating]],0)</f>
        <v>2</v>
      </c>
      <c r="P120" s="53">
        <f t="shared" si="1"/>
        <v>307</v>
      </c>
    </row>
    <row r="121" spans="2:16">
      <c r="B121" t="s">
        <v>201</v>
      </c>
      <c r="C121" t="s">
        <v>63</v>
      </c>
      <c r="D121" s="46" t="str" cm="1">
        <f t="array" ref="D121">_xlfn.XLOOKUP(C121,customers[Customer ID],customers[Gender],"")</f>
        <v>Male</v>
      </c>
      <c r="E121" s="46" cm="1">
        <f t="array" ref="E121">_xlfn.XLOOKUP(C121,customers[Customer ID],customers[Age],"")</f>
        <v>31</v>
      </c>
      <c r="F121" s="46" t="str" cm="1">
        <f t="array" ref="F121">_xlfn.XLOOKUP(C121,customers[Customer ID],customers[City],"")</f>
        <v>Cleveland</v>
      </c>
      <c r="G121">
        <v>116</v>
      </c>
      <c r="H121" s="47" t="s">
        <v>40</v>
      </c>
      <c r="I121" s="48">
        <v>44973</v>
      </c>
      <c r="J121">
        <v>140</v>
      </c>
      <c r="K121">
        <v>3.6</v>
      </c>
      <c r="L121">
        <f>IF(MONTH(calls[[#This Row],[Date of Call]])&lt;=6,YEAR(calls[[#This Row],[Date of Call]]),YEAR(calls[[#This Row],[Date of Call]])+1)</f>
        <v>2023</v>
      </c>
      <c r="M121" t="str">
        <f>TEXT(calls[[#This Row],[Date of Call]],"DDDD")</f>
        <v>Thursday</v>
      </c>
      <c r="N121" t="str" cm="1">
        <f t="array" ref="N1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21">
        <f>ROUND(calls[[#This Row],[Satisfaction Rating]],0)</f>
        <v>4</v>
      </c>
      <c r="P121" s="53">
        <f t="shared" si="1"/>
        <v>307</v>
      </c>
    </row>
    <row r="122" spans="2:16">
      <c r="B122" t="s">
        <v>202</v>
      </c>
      <c r="C122" t="s">
        <v>59</v>
      </c>
      <c r="D122" s="46" t="str" cm="1">
        <f t="array" ref="D122">_xlfn.XLOOKUP(C122,customers[Customer ID],customers[Gender],"")</f>
        <v>Male</v>
      </c>
      <c r="E122" s="46" cm="1">
        <f t="array" ref="E122">_xlfn.XLOOKUP(C122,customers[Customer ID],customers[Age],"")</f>
        <v>26</v>
      </c>
      <c r="F122" s="46" t="str" cm="1">
        <f t="array" ref="F122">_xlfn.XLOOKUP(C122,customers[Customer ID],customers[City],"")</f>
        <v>Cincinnati</v>
      </c>
      <c r="G122">
        <v>99</v>
      </c>
      <c r="H122" s="47" t="s">
        <v>37</v>
      </c>
      <c r="I122" s="48">
        <v>44973</v>
      </c>
      <c r="J122">
        <v>78</v>
      </c>
      <c r="K122">
        <v>4.1</v>
      </c>
      <c r="L122">
        <f>IF(MONTH(calls[[#This Row],[Date of Call]])&lt;=6,YEAR(calls[[#This Row],[Date of Call]]),YEAR(calls[[#This Row],[Date of Call]])+1)</f>
        <v>2023</v>
      </c>
      <c r="M122" t="str">
        <f>TEXT(calls[[#This Row],[Date of Call]],"DDDD")</f>
        <v>Thursday</v>
      </c>
      <c r="N122" t="str" cm="1">
        <f t="array" ref="N12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22">
        <f>ROUND(calls[[#This Row],[Satisfaction Rating]],0)</f>
        <v>4</v>
      </c>
      <c r="P122" s="53">
        <f t="shared" si="1"/>
        <v>307</v>
      </c>
    </row>
    <row r="123" spans="2:16">
      <c r="B123" t="s">
        <v>203</v>
      </c>
      <c r="C123" t="s">
        <v>60</v>
      </c>
      <c r="D123" s="46" t="str" cm="1">
        <f t="array" ref="D123">_xlfn.XLOOKUP(C123,customers[Customer ID],customers[Gender],"")</f>
        <v>Male</v>
      </c>
      <c r="E123" s="46" cm="1">
        <f t="array" ref="E123">_xlfn.XLOOKUP(C123,customers[Customer ID],customers[Age],"")</f>
        <v>36</v>
      </c>
      <c r="F123" s="46" t="str" cm="1">
        <f t="array" ref="F123">_xlfn.XLOOKUP(C123,customers[Customer ID],customers[City],"")</f>
        <v>Cincinnati</v>
      </c>
      <c r="G123">
        <v>75</v>
      </c>
      <c r="H123" s="47" t="s">
        <v>38</v>
      </c>
      <c r="I123" s="48">
        <v>44974</v>
      </c>
      <c r="J123">
        <v>21</v>
      </c>
      <c r="K123">
        <v>4.2</v>
      </c>
      <c r="L123">
        <f>IF(MONTH(calls[[#This Row],[Date of Call]])&lt;=6,YEAR(calls[[#This Row],[Date of Call]]),YEAR(calls[[#This Row],[Date of Call]])+1)</f>
        <v>2023</v>
      </c>
      <c r="M123" t="str">
        <f>TEXT(calls[[#This Row],[Date of Call]],"DDDD")</f>
        <v>Friday</v>
      </c>
      <c r="N123" t="str" cm="1">
        <f t="array" ref="N1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23">
        <f>ROUND(calls[[#This Row],[Satisfaction Rating]],0)</f>
        <v>4</v>
      </c>
      <c r="P123" s="53">
        <f t="shared" si="1"/>
        <v>307</v>
      </c>
    </row>
    <row r="124" spans="2:16">
      <c r="B124" t="s">
        <v>204</v>
      </c>
      <c r="C124" t="s">
        <v>70</v>
      </c>
      <c r="D124" s="46" t="str" cm="1">
        <f t="array" ref="D124">_xlfn.XLOOKUP(C124,customers[Customer ID],customers[Gender],"")</f>
        <v>Male</v>
      </c>
      <c r="E124" s="46" cm="1">
        <f t="array" ref="E124">_xlfn.XLOOKUP(C124,customers[Customer ID],customers[Age],"")</f>
        <v>37</v>
      </c>
      <c r="F124" s="46" t="str" cm="1">
        <f t="array" ref="F124">_xlfn.XLOOKUP(C124,customers[Customer ID],customers[City],"")</f>
        <v>Columbus</v>
      </c>
      <c r="G124">
        <v>57</v>
      </c>
      <c r="H124" s="47" t="s">
        <v>40</v>
      </c>
      <c r="I124" s="48">
        <v>44974</v>
      </c>
      <c r="J124">
        <v>88</v>
      </c>
      <c r="K124">
        <v>4.3</v>
      </c>
      <c r="L124">
        <f>IF(MONTH(calls[[#This Row],[Date of Call]])&lt;=6,YEAR(calls[[#This Row],[Date of Call]]),YEAR(calls[[#This Row],[Date of Call]])+1)</f>
        <v>2023</v>
      </c>
      <c r="M124" t="str">
        <f>TEXT(calls[[#This Row],[Date of Call]],"DDDD")</f>
        <v>Friday</v>
      </c>
      <c r="N124" t="str" cm="1">
        <f t="array" ref="N12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24">
        <f>ROUND(calls[[#This Row],[Satisfaction Rating]],0)</f>
        <v>4</v>
      </c>
      <c r="P124" s="53">
        <f t="shared" si="1"/>
        <v>307</v>
      </c>
    </row>
    <row r="125" spans="2:16">
      <c r="B125" t="s">
        <v>205</v>
      </c>
      <c r="C125" t="s">
        <v>64</v>
      </c>
      <c r="D125" s="46" t="str" cm="1">
        <f t="array" ref="D125">_xlfn.XLOOKUP(C125,customers[Customer ID],customers[Gender],"")</f>
        <v>Female</v>
      </c>
      <c r="E125" s="46" cm="1">
        <f t="array" ref="E125">_xlfn.XLOOKUP(C125,customers[Customer ID],customers[Age],"")</f>
        <v>22</v>
      </c>
      <c r="F125" s="46" t="str" cm="1">
        <f t="array" ref="F125">_xlfn.XLOOKUP(C125,customers[Customer ID],customers[City],"")</f>
        <v>Cleveland</v>
      </c>
      <c r="G125">
        <v>155</v>
      </c>
      <c r="H125" s="47" t="s">
        <v>40</v>
      </c>
      <c r="I125" s="48">
        <v>44975</v>
      </c>
      <c r="J125">
        <v>180</v>
      </c>
      <c r="K125">
        <v>2.2</v>
      </c>
      <c r="L125">
        <f>IF(MONTH(calls[[#This Row],[Date of Call]])&lt;=6,YEAR(calls[[#This Row],[Date of Call]]),YEAR(calls[[#This Row],[Date of Call]])+1)</f>
        <v>2023</v>
      </c>
      <c r="M125" t="str">
        <f>TEXT(calls[[#This Row],[Date of Call]],"DDDD")</f>
        <v>Saturday</v>
      </c>
      <c r="N125" t="str" cm="1">
        <f t="array" ref="N12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25">
        <f>ROUND(calls[[#This Row],[Satisfaction Rating]],0)</f>
        <v>2</v>
      </c>
      <c r="P125" s="53">
        <f t="shared" si="1"/>
        <v>307</v>
      </c>
    </row>
    <row r="126" spans="2:16">
      <c r="B126" t="s">
        <v>206</v>
      </c>
      <c r="C126" t="s">
        <v>59</v>
      </c>
      <c r="D126" s="46" t="str" cm="1">
        <f t="array" ref="D126">_xlfn.XLOOKUP(C126,customers[Customer ID],customers[Gender],"")</f>
        <v>Male</v>
      </c>
      <c r="E126" s="46" cm="1">
        <f t="array" ref="E126">_xlfn.XLOOKUP(C126,customers[Customer ID],customers[Age],"")</f>
        <v>26</v>
      </c>
      <c r="F126" s="46" t="str" cm="1">
        <f t="array" ref="F126">_xlfn.XLOOKUP(C126,customers[Customer ID],customers[City],"")</f>
        <v>Cincinnati</v>
      </c>
      <c r="G126">
        <v>68</v>
      </c>
      <c r="H126" s="47" t="s">
        <v>37</v>
      </c>
      <c r="I126" s="48">
        <v>44975</v>
      </c>
      <c r="J126">
        <v>22</v>
      </c>
      <c r="K126">
        <v>3.3</v>
      </c>
      <c r="L126">
        <f>IF(MONTH(calls[[#This Row],[Date of Call]])&lt;=6,YEAR(calls[[#This Row],[Date of Call]]),YEAR(calls[[#This Row],[Date of Call]])+1)</f>
        <v>2023</v>
      </c>
      <c r="M126" t="str">
        <f>TEXT(calls[[#This Row],[Date of Call]],"DDDD")</f>
        <v>Saturday</v>
      </c>
      <c r="N126" t="str" cm="1">
        <f t="array" ref="N12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26">
        <f>ROUND(calls[[#This Row],[Satisfaction Rating]],0)</f>
        <v>3</v>
      </c>
      <c r="P126" s="53">
        <f t="shared" si="1"/>
        <v>307</v>
      </c>
    </row>
    <row r="127" spans="2:16">
      <c r="B127" t="s">
        <v>207</v>
      </c>
      <c r="C127" t="s">
        <v>66</v>
      </c>
      <c r="D127" s="46" t="str" cm="1">
        <f t="array" ref="D127">_xlfn.XLOOKUP(C127,customers[Customer ID],customers[Gender],"")</f>
        <v>Female</v>
      </c>
      <c r="E127" s="46" cm="1">
        <f t="array" ref="E127">_xlfn.XLOOKUP(C127,customers[Customer ID],customers[Age],"")</f>
        <v>30</v>
      </c>
      <c r="F127" s="46" t="str" cm="1">
        <f t="array" ref="F127">_xlfn.XLOOKUP(C127,customers[Customer ID],customers[City],"")</f>
        <v>Cleveland</v>
      </c>
      <c r="G127">
        <v>95</v>
      </c>
      <c r="H127" s="47" t="s">
        <v>37</v>
      </c>
      <c r="I127" s="48">
        <v>44975</v>
      </c>
      <c r="J127">
        <v>52</v>
      </c>
      <c r="K127">
        <v>4.8</v>
      </c>
      <c r="L127">
        <f>IF(MONTH(calls[[#This Row],[Date of Call]])&lt;=6,YEAR(calls[[#This Row],[Date of Call]]),YEAR(calls[[#This Row],[Date of Call]])+1)</f>
        <v>2023</v>
      </c>
      <c r="M127" t="str">
        <f>TEXT(calls[[#This Row],[Date of Call]],"DDDD")</f>
        <v>Saturday</v>
      </c>
      <c r="N127" t="str" cm="1">
        <f t="array" ref="N12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27">
        <f>ROUND(calls[[#This Row],[Satisfaction Rating]],0)</f>
        <v>5</v>
      </c>
      <c r="P127" s="53">
        <f t="shared" si="1"/>
        <v>307</v>
      </c>
    </row>
    <row r="128" spans="2:16">
      <c r="B128" t="s">
        <v>208</v>
      </c>
      <c r="C128" t="s">
        <v>68</v>
      </c>
      <c r="D128" s="46" t="str" cm="1">
        <f t="array" ref="D128">_xlfn.XLOOKUP(C128,customers[Customer ID],customers[Gender],"")</f>
        <v>Female</v>
      </c>
      <c r="E128" s="46" cm="1">
        <f t="array" ref="E128">_xlfn.XLOOKUP(C128,customers[Customer ID],customers[Age],"")</f>
        <v>43</v>
      </c>
      <c r="F128" s="46" t="str" cm="1">
        <f t="array" ref="F128">_xlfn.XLOOKUP(C128,customers[Customer ID],customers[City],"")</f>
        <v>Cleveland</v>
      </c>
      <c r="G128">
        <v>65</v>
      </c>
      <c r="H128" s="47" t="s">
        <v>40</v>
      </c>
      <c r="I128" s="48">
        <v>44976</v>
      </c>
      <c r="J128">
        <v>80</v>
      </c>
      <c r="K128">
        <v>4</v>
      </c>
      <c r="L128">
        <f>IF(MONTH(calls[[#This Row],[Date of Call]])&lt;=6,YEAR(calls[[#This Row],[Date of Call]]),YEAR(calls[[#This Row],[Date of Call]])+1)</f>
        <v>2023</v>
      </c>
      <c r="M128" t="str">
        <f>TEXT(calls[[#This Row],[Date of Call]],"DDDD")</f>
        <v>Sunday</v>
      </c>
      <c r="N128" t="str" cm="1">
        <f t="array" ref="N1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28">
        <f>ROUND(calls[[#This Row],[Satisfaction Rating]],0)</f>
        <v>4</v>
      </c>
      <c r="P128" s="53">
        <f t="shared" si="1"/>
        <v>307</v>
      </c>
    </row>
    <row r="129" spans="2:16">
      <c r="B129" t="s">
        <v>209</v>
      </c>
      <c r="C129" t="s">
        <v>61</v>
      </c>
      <c r="D129" s="46" t="str" cm="1">
        <f t="array" ref="D129">_xlfn.XLOOKUP(C129,customers[Customer ID],customers[Gender],"")</f>
        <v>Female</v>
      </c>
      <c r="E129" s="46" cm="1">
        <f t="array" ref="E129">_xlfn.XLOOKUP(C129,customers[Customer ID],customers[Age],"")</f>
        <v>30</v>
      </c>
      <c r="F129" s="46" t="str" cm="1">
        <f t="array" ref="F129">_xlfn.XLOOKUP(C129,customers[Customer ID],customers[City],"")</f>
        <v>Cincinnati</v>
      </c>
      <c r="G129">
        <v>114</v>
      </c>
      <c r="H129" s="47" t="s">
        <v>36</v>
      </c>
      <c r="I129" s="48">
        <v>44976</v>
      </c>
      <c r="J129">
        <v>54</v>
      </c>
      <c r="K129">
        <v>1.1</v>
      </c>
      <c r="L129">
        <f>IF(MONTH(calls[[#This Row],[Date of Call]])&lt;=6,YEAR(calls[[#This Row],[Date of Call]]),YEAR(calls[[#This Row],[Date of Call]])+1)</f>
        <v>2023</v>
      </c>
      <c r="M129" t="str">
        <f>TEXT(calls[[#This Row],[Date of Call]],"DDDD")</f>
        <v>Sunday</v>
      </c>
      <c r="N129" t="str" cm="1">
        <f t="array" ref="N1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29">
        <f>ROUND(calls[[#This Row],[Satisfaction Rating]],0)</f>
        <v>1</v>
      </c>
      <c r="P129" s="53">
        <f t="shared" si="1"/>
        <v>307</v>
      </c>
    </row>
    <row r="130" spans="2:16">
      <c r="B130" t="s">
        <v>210</v>
      </c>
      <c r="C130" t="s">
        <v>60</v>
      </c>
      <c r="D130" s="46" t="str" cm="1">
        <f t="array" ref="D130">_xlfn.XLOOKUP(C130,customers[Customer ID],customers[Gender],"")</f>
        <v>Male</v>
      </c>
      <c r="E130" s="46" cm="1">
        <f t="array" ref="E130">_xlfn.XLOOKUP(C130,customers[Customer ID],customers[Age],"")</f>
        <v>36</v>
      </c>
      <c r="F130" s="46" t="str" cm="1">
        <f t="array" ref="F130">_xlfn.XLOOKUP(C130,customers[Customer ID],customers[City],"")</f>
        <v>Cincinnati</v>
      </c>
      <c r="G130">
        <v>155</v>
      </c>
      <c r="H130" s="47" t="s">
        <v>36</v>
      </c>
      <c r="I130" s="48">
        <v>44977</v>
      </c>
      <c r="J130">
        <v>80</v>
      </c>
      <c r="K130">
        <v>3.9</v>
      </c>
      <c r="L130">
        <f>IF(MONTH(calls[[#This Row],[Date of Call]])&lt;=6,YEAR(calls[[#This Row],[Date of Call]]),YEAR(calls[[#This Row],[Date of Call]])+1)</f>
        <v>2023</v>
      </c>
      <c r="M130" t="str">
        <f>TEXT(calls[[#This Row],[Date of Call]],"DDDD")</f>
        <v>Monday</v>
      </c>
      <c r="N130" t="str" cm="1">
        <f t="array" ref="N13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30">
        <f>ROUND(calls[[#This Row],[Satisfaction Rating]],0)</f>
        <v>4</v>
      </c>
      <c r="P130" s="53">
        <f t="shared" si="1"/>
        <v>307</v>
      </c>
    </row>
    <row r="131" spans="2:16">
      <c r="B131" t="s">
        <v>211</v>
      </c>
      <c r="C131" t="s">
        <v>68</v>
      </c>
      <c r="D131" s="46" t="str" cm="1">
        <f t="array" ref="D131">_xlfn.XLOOKUP(C131,customers[Customer ID],customers[Gender],"")</f>
        <v>Female</v>
      </c>
      <c r="E131" s="46" cm="1">
        <f t="array" ref="E131">_xlfn.XLOOKUP(C131,customers[Customer ID],customers[Age],"")</f>
        <v>43</v>
      </c>
      <c r="F131" s="46" t="str" cm="1">
        <f t="array" ref="F131">_xlfn.XLOOKUP(C131,customers[Customer ID],customers[City],"")</f>
        <v>Cleveland</v>
      </c>
      <c r="G131">
        <v>114</v>
      </c>
      <c r="H131" s="47" t="s">
        <v>40</v>
      </c>
      <c r="I131" s="48">
        <v>44978</v>
      </c>
      <c r="J131">
        <v>120</v>
      </c>
      <c r="K131">
        <v>1.8</v>
      </c>
      <c r="L131">
        <f>IF(MONTH(calls[[#This Row],[Date of Call]])&lt;=6,YEAR(calls[[#This Row],[Date of Call]]),YEAR(calls[[#This Row],[Date of Call]])+1)</f>
        <v>2023</v>
      </c>
      <c r="M131" t="str">
        <f>TEXT(calls[[#This Row],[Date of Call]],"DDDD")</f>
        <v>Tuesday</v>
      </c>
      <c r="N131" t="str" cm="1">
        <f t="array" ref="N13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31">
        <f>ROUND(calls[[#This Row],[Satisfaction Rating]],0)</f>
        <v>2</v>
      </c>
      <c r="P131" s="53">
        <f t="shared" si="1"/>
        <v>307</v>
      </c>
    </row>
    <row r="132" spans="2:16">
      <c r="B132" t="s">
        <v>212</v>
      </c>
      <c r="C132" t="s">
        <v>64</v>
      </c>
      <c r="D132" s="46" t="str" cm="1">
        <f t="array" ref="D132">_xlfn.XLOOKUP(C132,customers[Customer ID],customers[Gender],"")</f>
        <v>Female</v>
      </c>
      <c r="E132" s="46" cm="1">
        <f t="array" ref="E132">_xlfn.XLOOKUP(C132,customers[Customer ID],customers[Age],"")</f>
        <v>22</v>
      </c>
      <c r="F132" s="46" t="str" cm="1">
        <f t="array" ref="F132">_xlfn.XLOOKUP(C132,customers[Customer ID],customers[City],"")</f>
        <v>Cleveland</v>
      </c>
      <c r="G132">
        <v>130</v>
      </c>
      <c r="H132" s="47" t="s">
        <v>39</v>
      </c>
      <c r="I132" s="48">
        <v>44978</v>
      </c>
      <c r="J132">
        <v>150</v>
      </c>
      <c r="K132">
        <v>1</v>
      </c>
      <c r="L132">
        <f>IF(MONTH(calls[[#This Row],[Date of Call]])&lt;=6,YEAR(calls[[#This Row],[Date of Call]]),YEAR(calls[[#This Row],[Date of Call]])+1)</f>
        <v>2023</v>
      </c>
      <c r="M132" t="str">
        <f>TEXT(calls[[#This Row],[Date of Call]],"DDDD")</f>
        <v>Tuesday</v>
      </c>
      <c r="N132" t="str" cm="1">
        <f t="array" ref="N13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32">
        <f>ROUND(calls[[#This Row],[Satisfaction Rating]],0)</f>
        <v>1</v>
      </c>
      <c r="P132" s="53">
        <f t="shared" ref="P132:P195" si="2">COUNTIF(O:O,5)</f>
        <v>307</v>
      </c>
    </row>
    <row r="133" spans="2:16">
      <c r="B133" t="s">
        <v>213</v>
      </c>
      <c r="C133" t="s">
        <v>60</v>
      </c>
      <c r="D133" s="46" t="str" cm="1">
        <f t="array" ref="D133">_xlfn.XLOOKUP(C133,customers[Customer ID],customers[Gender],"")</f>
        <v>Male</v>
      </c>
      <c r="E133" s="46" cm="1">
        <f t="array" ref="E133">_xlfn.XLOOKUP(C133,customers[Customer ID],customers[Age],"")</f>
        <v>36</v>
      </c>
      <c r="F133" s="46" t="str" cm="1">
        <f t="array" ref="F133">_xlfn.XLOOKUP(C133,customers[Customer ID],customers[City],"")</f>
        <v>Cincinnati</v>
      </c>
      <c r="G133">
        <v>89</v>
      </c>
      <c r="H133" s="47" t="s">
        <v>40</v>
      </c>
      <c r="I133" s="48">
        <v>44978</v>
      </c>
      <c r="J133">
        <v>90</v>
      </c>
      <c r="K133">
        <v>4.3</v>
      </c>
      <c r="L133">
        <f>IF(MONTH(calls[[#This Row],[Date of Call]])&lt;=6,YEAR(calls[[#This Row],[Date of Call]]),YEAR(calls[[#This Row],[Date of Call]])+1)</f>
        <v>2023</v>
      </c>
      <c r="M133" t="str">
        <f>TEXT(calls[[#This Row],[Date of Call]],"DDDD")</f>
        <v>Tuesday</v>
      </c>
      <c r="N133" t="str" cm="1">
        <f t="array" ref="N13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33">
        <f>ROUND(calls[[#This Row],[Satisfaction Rating]],0)</f>
        <v>4</v>
      </c>
      <c r="P133" s="53">
        <f t="shared" si="2"/>
        <v>307</v>
      </c>
    </row>
    <row r="134" spans="2:16">
      <c r="B134" t="s">
        <v>214</v>
      </c>
      <c r="C134" t="s">
        <v>69</v>
      </c>
      <c r="D134" s="46" t="str" cm="1">
        <f t="array" ref="D134">_xlfn.XLOOKUP(C134,customers[Customer ID],customers[Gender],"")</f>
        <v>Male</v>
      </c>
      <c r="E134" s="46" cm="1">
        <f t="array" ref="E134">_xlfn.XLOOKUP(C134,customers[Customer ID],customers[Age],"")</f>
        <v>41</v>
      </c>
      <c r="F134" s="46" t="str" cm="1">
        <f t="array" ref="F134">_xlfn.XLOOKUP(C134,customers[Customer ID],customers[City],"")</f>
        <v>Columbus</v>
      </c>
      <c r="G134">
        <v>61</v>
      </c>
      <c r="H134" s="47" t="s">
        <v>38</v>
      </c>
      <c r="I134" s="48">
        <v>44979</v>
      </c>
      <c r="J134">
        <v>140</v>
      </c>
      <c r="K134">
        <v>3.4</v>
      </c>
      <c r="L134">
        <f>IF(MONTH(calls[[#This Row],[Date of Call]])&lt;=6,YEAR(calls[[#This Row],[Date of Call]]),YEAR(calls[[#This Row],[Date of Call]])+1)</f>
        <v>2023</v>
      </c>
      <c r="M134" t="str">
        <f>TEXT(calls[[#This Row],[Date of Call]],"DDDD")</f>
        <v>Wednesday</v>
      </c>
      <c r="N134" t="str" cm="1">
        <f t="array" ref="N13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34">
        <f>ROUND(calls[[#This Row],[Satisfaction Rating]],0)</f>
        <v>3</v>
      </c>
      <c r="P134" s="53">
        <f t="shared" si="2"/>
        <v>307</v>
      </c>
    </row>
    <row r="135" spans="2:16">
      <c r="B135" t="s">
        <v>215</v>
      </c>
      <c r="C135" t="s">
        <v>66</v>
      </c>
      <c r="D135" s="46" t="str" cm="1">
        <f t="array" ref="D135">_xlfn.XLOOKUP(C135,customers[Customer ID],customers[Gender],"")</f>
        <v>Female</v>
      </c>
      <c r="E135" s="46" cm="1">
        <f t="array" ref="E135">_xlfn.XLOOKUP(C135,customers[Customer ID],customers[Age],"")</f>
        <v>30</v>
      </c>
      <c r="F135" s="46" t="str" cm="1">
        <f t="array" ref="F135">_xlfn.XLOOKUP(C135,customers[Customer ID],customers[City],"")</f>
        <v>Cleveland</v>
      </c>
      <c r="G135">
        <v>154</v>
      </c>
      <c r="H135" s="47" t="s">
        <v>36</v>
      </c>
      <c r="I135" s="48">
        <v>44979</v>
      </c>
      <c r="J135">
        <v>22</v>
      </c>
      <c r="K135">
        <v>3.4</v>
      </c>
      <c r="L135">
        <f>IF(MONTH(calls[[#This Row],[Date of Call]])&lt;=6,YEAR(calls[[#This Row],[Date of Call]]),YEAR(calls[[#This Row],[Date of Call]])+1)</f>
        <v>2023</v>
      </c>
      <c r="M135" t="str">
        <f>TEXT(calls[[#This Row],[Date of Call]],"DDDD")</f>
        <v>Wednesday</v>
      </c>
      <c r="N135" t="str" cm="1">
        <f t="array" ref="N13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35">
        <f>ROUND(calls[[#This Row],[Satisfaction Rating]],0)</f>
        <v>3</v>
      </c>
      <c r="P135" s="53">
        <f t="shared" si="2"/>
        <v>307</v>
      </c>
    </row>
    <row r="136" spans="2:16">
      <c r="B136" t="s">
        <v>216</v>
      </c>
      <c r="C136" t="s">
        <v>68</v>
      </c>
      <c r="D136" s="46" t="str" cm="1">
        <f t="array" ref="D136">_xlfn.XLOOKUP(C136,customers[Customer ID],customers[Gender],"")</f>
        <v>Female</v>
      </c>
      <c r="E136" s="46" cm="1">
        <f t="array" ref="E136">_xlfn.XLOOKUP(C136,customers[Customer ID],customers[Age],"")</f>
        <v>43</v>
      </c>
      <c r="F136" s="46" t="str" cm="1">
        <f t="array" ref="F136">_xlfn.XLOOKUP(C136,customers[Customer ID],customers[City],"")</f>
        <v>Cleveland</v>
      </c>
      <c r="G136">
        <v>115</v>
      </c>
      <c r="H136" s="47" t="s">
        <v>39</v>
      </c>
      <c r="I136" s="48">
        <v>44980</v>
      </c>
      <c r="J136">
        <v>150</v>
      </c>
      <c r="K136">
        <v>4.1</v>
      </c>
      <c r="L136">
        <f>IF(MONTH(calls[[#This Row],[Date of Call]])&lt;=6,YEAR(calls[[#This Row],[Date of Call]]),YEAR(calls[[#This Row],[Date of Call]])+1)</f>
        <v>2023</v>
      </c>
      <c r="M136" t="str">
        <f>TEXT(calls[[#This Row],[Date of Call]],"DDDD")</f>
        <v>Thursday</v>
      </c>
      <c r="N136" t="str" cm="1">
        <f t="array" ref="N13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36">
        <f>ROUND(calls[[#This Row],[Satisfaction Rating]],0)</f>
        <v>4</v>
      </c>
      <c r="P136" s="53">
        <f t="shared" si="2"/>
        <v>307</v>
      </c>
    </row>
    <row r="137" spans="2:16">
      <c r="B137" t="s">
        <v>217</v>
      </c>
      <c r="C137" t="s">
        <v>65</v>
      </c>
      <c r="D137" s="46" t="str" cm="1">
        <f t="array" ref="D137">_xlfn.XLOOKUP(C137,customers[Customer ID],customers[Gender],"")</f>
        <v>Female</v>
      </c>
      <c r="E137" s="46" cm="1">
        <f t="array" ref="E137">_xlfn.XLOOKUP(C137,customers[Customer ID],customers[Age],"")</f>
        <v>42</v>
      </c>
      <c r="F137" s="46" t="str" cm="1">
        <f t="array" ref="F137">_xlfn.XLOOKUP(C137,customers[Customer ID],customers[City],"")</f>
        <v>Cleveland</v>
      </c>
      <c r="G137">
        <v>138</v>
      </c>
      <c r="H137" s="47" t="s">
        <v>37</v>
      </c>
      <c r="I137" s="48">
        <v>44981</v>
      </c>
      <c r="J137">
        <v>35</v>
      </c>
      <c r="K137">
        <v>4.8</v>
      </c>
      <c r="L137">
        <f>IF(MONTH(calls[[#This Row],[Date of Call]])&lt;=6,YEAR(calls[[#This Row],[Date of Call]]),YEAR(calls[[#This Row],[Date of Call]])+1)</f>
        <v>2023</v>
      </c>
      <c r="M137" t="str">
        <f>TEXT(calls[[#This Row],[Date of Call]],"DDDD")</f>
        <v>Friday</v>
      </c>
      <c r="N137" t="str" cm="1">
        <f t="array" ref="N13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37">
        <f>ROUND(calls[[#This Row],[Satisfaction Rating]],0)</f>
        <v>5</v>
      </c>
      <c r="P137" s="53">
        <f t="shared" si="2"/>
        <v>307</v>
      </c>
    </row>
    <row r="138" spans="2:16">
      <c r="B138" t="s">
        <v>218</v>
      </c>
      <c r="C138" t="s">
        <v>73</v>
      </c>
      <c r="D138" s="46" t="str" cm="1">
        <f t="array" ref="D138">_xlfn.XLOOKUP(C138,customers[Customer ID],customers[Gender],"")</f>
        <v>Female</v>
      </c>
      <c r="E138" s="46" cm="1">
        <f t="array" ref="E138">_xlfn.XLOOKUP(C138,customers[Customer ID],customers[Age],"")</f>
        <v>38</v>
      </c>
      <c r="F138" s="46" t="str" cm="1">
        <f t="array" ref="F138">_xlfn.XLOOKUP(C138,customers[Customer ID],customers[City],"")</f>
        <v>Columbus</v>
      </c>
      <c r="G138">
        <v>153</v>
      </c>
      <c r="H138" s="47" t="s">
        <v>40</v>
      </c>
      <c r="I138" s="48">
        <v>44981</v>
      </c>
      <c r="J138">
        <v>200</v>
      </c>
      <c r="K138">
        <v>2</v>
      </c>
      <c r="L138">
        <f>IF(MONTH(calls[[#This Row],[Date of Call]])&lt;=6,YEAR(calls[[#This Row],[Date of Call]]),YEAR(calls[[#This Row],[Date of Call]])+1)</f>
        <v>2023</v>
      </c>
      <c r="M138" t="str">
        <f>TEXT(calls[[#This Row],[Date of Call]],"DDDD")</f>
        <v>Friday</v>
      </c>
      <c r="N138" t="str" cm="1">
        <f t="array" ref="N13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38">
        <f>ROUND(calls[[#This Row],[Satisfaction Rating]],0)</f>
        <v>2</v>
      </c>
      <c r="P138" s="53">
        <f t="shared" si="2"/>
        <v>307</v>
      </c>
    </row>
    <row r="139" spans="2:16">
      <c r="B139" t="s">
        <v>219</v>
      </c>
      <c r="C139" t="s">
        <v>68</v>
      </c>
      <c r="D139" s="46" t="str" cm="1">
        <f t="array" ref="D139">_xlfn.XLOOKUP(C139,customers[Customer ID],customers[Gender],"")</f>
        <v>Female</v>
      </c>
      <c r="E139" s="46" cm="1">
        <f t="array" ref="E139">_xlfn.XLOOKUP(C139,customers[Customer ID],customers[Age],"")</f>
        <v>43</v>
      </c>
      <c r="F139" s="46" t="str" cm="1">
        <f t="array" ref="F139">_xlfn.XLOOKUP(C139,customers[Customer ID],customers[City],"")</f>
        <v>Cleveland</v>
      </c>
      <c r="G139">
        <v>61</v>
      </c>
      <c r="H139" s="47" t="s">
        <v>38</v>
      </c>
      <c r="I139" s="48">
        <v>44982</v>
      </c>
      <c r="J139">
        <v>150</v>
      </c>
      <c r="K139">
        <v>4.6</v>
      </c>
      <c r="L139">
        <f>IF(MONTH(calls[[#This Row],[Date of Call]])&lt;=6,YEAR(calls[[#This Row],[Date of Call]]),YEAR(calls[[#This Row],[Date of Call]])+1)</f>
        <v>2023</v>
      </c>
      <c r="M139" t="str">
        <f>TEXT(calls[[#This Row],[Date of Call]],"DDDD")</f>
        <v>Saturday</v>
      </c>
      <c r="N139" t="str" cm="1">
        <f t="array" ref="N1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39">
        <f>ROUND(calls[[#This Row],[Satisfaction Rating]],0)</f>
        <v>5</v>
      </c>
      <c r="P139" s="53">
        <f t="shared" si="2"/>
        <v>307</v>
      </c>
    </row>
    <row r="140" spans="2:16">
      <c r="B140" t="s">
        <v>220</v>
      </c>
      <c r="C140" t="s">
        <v>72</v>
      </c>
      <c r="D140" s="46" t="str" cm="1">
        <f t="array" ref="D140">_xlfn.XLOOKUP(C140,customers[Customer ID],customers[Gender],"")</f>
        <v>Female</v>
      </c>
      <c r="E140" s="46" cm="1">
        <f t="array" ref="E140">_xlfn.XLOOKUP(C140,customers[Customer ID],customers[Age],"")</f>
        <v>25</v>
      </c>
      <c r="F140" s="46" t="str" cm="1">
        <f t="array" ref="F140">_xlfn.XLOOKUP(C140,customers[Customer ID],customers[City],"")</f>
        <v>Columbus</v>
      </c>
      <c r="G140">
        <v>62</v>
      </c>
      <c r="H140" s="47" t="s">
        <v>40</v>
      </c>
      <c r="I140" s="48">
        <v>44982</v>
      </c>
      <c r="J140">
        <v>21</v>
      </c>
      <c r="K140">
        <v>2.6</v>
      </c>
      <c r="L140">
        <f>IF(MONTH(calls[[#This Row],[Date of Call]])&lt;=6,YEAR(calls[[#This Row],[Date of Call]]),YEAR(calls[[#This Row],[Date of Call]])+1)</f>
        <v>2023</v>
      </c>
      <c r="M140" t="str">
        <f>TEXT(calls[[#This Row],[Date of Call]],"DDDD")</f>
        <v>Saturday</v>
      </c>
      <c r="N140" t="str" cm="1">
        <f t="array" ref="N1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40">
        <f>ROUND(calls[[#This Row],[Satisfaction Rating]],0)</f>
        <v>3</v>
      </c>
      <c r="P140" s="53">
        <f t="shared" si="2"/>
        <v>307</v>
      </c>
    </row>
    <row r="141" spans="2:16">
      <c r="B141" t="s">
        <v>221</v>
      </c>
      <c r="C141" t="s">
        <v>69</v>
      </c>
      <c r="D141" s="46" t="str" cm="1">
        <f t="array" ref="D141">_xlfn.XLOOKUP(C141,customers[Customer ID],customers[Gender],"")</f>
        <v>Male</v>
      </c>
      <c r="E141" s="46" cm="1">
        <f t="array" ref="E141">_xlfn.XLOOKUP(C141,customers[Customer ID],customers[Age],"")</f>
        <v>41</v>
      </c>
      <c r="F141" s="46" t="str" cm="1">
        <f t="array" ref="F141">_xlfn.XLOOKUP(C141,customers[Customer ID],customers[City],"")</f>
        <v>Columbus</v>
      </c>
      <c r="G141">
        <v>151</v>
      </c>
      <c r="H141" s="47" t="s">
        <v>39</v>
      </c>
      <c r="I141" s="48">
        <v>44983</v>
      </c>
      <c r="J141">
        <v>46</v>
      </c>
      <c r="K141">
        <v>4.9</v>
      </c>
      <c r="L141">
        <f>IF(MONTH(calls[[#This Row],[Date of Call]])&lt;=6,YEAR(calls[[#This Row],[Date of Call]]),YEAR(calls[[#This Row],[Date of Call]])+1)</f>
        <v>2023</v>
      </c>
      <c r="M141" t="str">
        <f>TEXT(calls[[#This Row],[Date of Call]],"DDDD")</f>
        <v>Sunday</v>
      </c>
      <c r="N141" t="str" cm="1">
        <f t="array" ref="N14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41">
        <f>ROUND(calls[[#This Row],[Satisfaction Rating]],0)</f>
        <v>5</v>
      </c>
      <c r="P141" s="53">
        <f t="shared" si="2"/>
        <v>307</v>
      </c>
    </row>
    <row r="142" spans="2:16">
      <c r="B142" t="s">
        <v>222</v>
      </c>
      <c r="C142" t="s">
        <v>62</v>
      </c>
      <c r="D142" s="46" t="str" cm="1">
        <f t="array" ref="D142">_xlfn.XLOOKUP(C142,customers[Customer ID],customers[Gender],"")</f>
        <v>Female</v>
      </c>
      <c r="E142" s="46" cm="1">
        <f t="array" ref="E142">_xlfn.XLOOKUP(C142,customers[Customer ID],customers[Age],"")</f>
        <v>28</v>
      </c>
      <c r="F142" s="46" t="str" cm="1">
        <f t="array" ref="F142">_xlfn.XLOOKUP(C142,customers[Customer ID],customers[City],"")</f>
        <v>Cincinnati</v>
      </c>
      <c r="G142">
        <v>102</v>
      </c>
      <c r="H142" s="47" t="s">
        <v>36</v>
      </c>
      <c r="I142" s="48">
        <v>44983</v>
      </c>
      <c r="J142">
        <v>165</v>
      </c>
      <c r="K142">
        <v>2.7</v>
      </c>
      <c r="L142">
        <f>IF(MONTH(calls[[#This Row],[Date of Call]])&lt;=6,YEAR(calls[[#This Row],[Date of Call]]),YEAR(calls[[#This Row],[Date of Call]])+1)</f>
        <v>2023</v>
      </c>
      <c r="M142" t="str">
        <f>TEXT(calls[[#This Row],[Date of Call]],"DDDD")</f>
        <v>Sunday</v>
      </c>
      <c r="N142" t="str" cm="1">
        <f t="array" ref="N1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42">
        <f>ROUND(calls[[#This Row],[Satisfaction Rating]],0)</f>
        <v>3</v>
      </c>
      <c r="P142" s="53">
        <f t="shared" si="2"/>
        <v>307</v>
      </c>
    </row>
    <row r="143" spans="2:16">
      <c r="B143" t="s">
        <v>223</v>
      </c>
      <c r="C143" t="s">
        <v>71</v>
      </c>
      <c r="D143" s="46" t="str" cm="1">
        <f t="array" ref="D143">_xlfn.XLOOKUP(C143,customers[Customer ID],customers[Gender],"")</f>
        <v>Male</v>
      </c>
      <c r="E143" s="46" cm="1">
        <f t="array" ref="E143">_xlfn.XLOOKUP(C143,customers[Customer ID],customers[Age],"")</f>
        <v>23</v>
      </c>
      <c r="F143" s="46" t="str" cm="1">
        <f t="array" ref="F143">_xlfn.XLOOKUP(C143,customers[Customer ID],customers[City],"")</f>
        <v>Columbus</v>
      </c>
      <c r="G143">
        <v>64</v>
      </c>
      <c r="H143" s="47" t="s">
        <v>40</v>
      </c>
      <c r="I143" s="48">
        <v>44983</v>
      </c>
      <c r="J143">
        <v>84</v>
      </c>
      <c r="K143">
        <v>4.1</v>
      </c>
      <c r="L143">
        <f>IF(MONTH(calls[[#This Row],[Date of Call]])&lt;=6,YEAR(calls[[#This Row],[Date of Call]]),YEAR(calls[[#This Row],[Date of Call]])+1)</f>
        <v>2023</v>
      </c>
      <c r="M143" t="str">
        <f>TEXT(calls[[#This Row],[Date of Call]],"DDDD")</f>
        <v>Sunday</v>
      </c>
      <c r="N143" t="str" cm="1">
        <f t="array" ref="N1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43">
        <f>ROUND(calls[[#This Row],[Satisfaction Rating]],0)</f>
        <v>4</v>
      </c>
      <c r="P143" s="53">
        <f t="shared" si="2"/>
        <v>307</v>
      </c>
    </row>
    <row r="144" spans="2:16">
      <c r="B144" t="s">
        <v>224</v>
      </c>
      <c r="C144" t="s">
        <v>60</v>
      </c>
      <c r="D144" s="46" t="str" cm="1">
        <f t="array" ref="D144">_xlfn.XLOOKUP(C144,customers[Customer ID],customers[Gender],"")</f>
        <v>Male</v>
      </c>
      <c r="E144" s="46" cm="1">
        <f t="array" ref="E144">_xlfn.XLOOKUP(C144,customers[Customer ID],customers[Age],"")</f>
        <v>36</v>
      </c>
      <c r="F144" s="46" t="str" cm="1">
        <f t="array" ref="F144">_xlfn.XLOOKUP(C144,customers[Customer ID],customers[City],"")</f>
        <v>Cincinnati</v>
      </c>
      <c r="G144">
        <v>6</v>
      </c>
      <c r="H144" s="47" t="s">
        <v>36</v>
      </c>
      <c r="I144" s="48">
        <v>44984</v>
      </c>
      <c r="J144">
        <v>102</v>
      </c>
      <c r="K144">
        <v>4.4</v>
      </c>
      <c r="L144">
        <f>IF(MONTH(calls[[#This Row],[Date of Call]])&lt;=6,YEAR(calls[[#This Row],[Date of Call]]),YEAR(calls[[#This Row],[Date of Call]])+1)</f>
        <v>2023</v>
      </c>
      <c r="M144" t="str">
        <f>TEXT(calls[[#This Row],[Date of Call]],"DDDD")</f>
        <v>Monday</v>
      </c>
      <c r="N144" t="str" cm="1">
        <f t="array" ref="N144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O144">
        <f>ROUND(calls[[#This Row],[Satisfaction Rating]],0)</f>
        <v>4</v>
      </c>
      <c r="P144" s="53">
        <f t="shared" si="2"/>
        <v>307</v>
      </c>
    </row>
    <row r="145" spans="2:16">
      <c r="B145" t="s">
        <v>225</v>
      </c>
      <c r="C145" t="s">
        <v>71</v>
      </c>
      <c r="D145" s="46" t="str" cm="1">
        <f t="array" ref="D145">_xlfn.XLOOKUP(C145,customers[Customer ID],customers[Gender],"")</f>
        <v>Male</v>
      </c>
      <c r="E145" s="46" cm="1">
        <f t="array" ref="E145">_xlfn.XLOOKUP(C145,customers[Customer ID],customers[Age],"")</f>
        <v>23</v>
      </c>
      <c r="F145" s="46" t="str" cm="1">
        <f t="array" ref="F145">_xlfn.XLOOKUP(C145,customers[Customer ID],customers[City],"")</f>
        <v>Columbus</v>
      </c>
      <c r="G145">
        <v>129</v>
      </c>
      <c r="H145" s="47" t="s">
        <v>40</v>
      </c>
      <c r="I145" s="48">
        <v>44984</v>
      </c>
      <c r="J145">
        <v>180</v>
      </c>
      <c r="K145">
        <v>4.8</v>
      </c>
      <c r="L145">
        <f>IF(MONTH(calls[[#This Row],[Date of Call]])&lt;=6,YEAR(calls[[#This Row],[Date of Call]]),YEAR(calls[[#This Row],[Date of Call]])+1)</f>
        <v>2023</v>
      </c>
      <c r="M145" t="str">
        <f>TEXT(calls[[#This Row],[Date of Call]],"DDDD")</f>
        <v>Monday</v>
      </c>
      <c r="N145" t="str" cm="1">
        <f t="array" ref="N14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45">
        <f>ROUND(calls[[#This Row],[Satisfaction Rating]],0)</f>
        <v>5</v>
      </c>
      <c r="P145" s="53">
        <f t="shared" si="2"/>
        <v>307</v>
      </c>
    </row>
    <row r="146" spans="2:16">
      <c r="B146" t="s">
        <v>226</v>
      </c>
      <c r="C146" t="s">
        <v>72</v>
      </c>
      <c r="D146" s="46" t="str" cm="1">
        <f t="array" ref="D146">_xlfn.XLOOKUP(C146,customers[Customer ID],customers[Gender],"")</f>
        <v>Female</v>
      </c>
      <c r="E146" s="46" cm="1">
        <f t="array" ref="E146">_xlfn.XLOOKUP(C146,customers[Customer ID],customers[Age],"")</f>
        <v>25</v>
      </c>
      <c r="F146" s="46" t="str" cm="1">
        <f t="array" ref="F146">_xlfn.XLOOKUP(C146,customers[Customer ID],customers[City],"")</f>
        <v>Columbus</v>
      </c>
      <c r="G146">
        <v>42</v>
      </c>
      <c r="H146" s="47" t="s">
        <v>39</v>
      </c>
      <c r="I146" s="48">
        <v>44985</v>
      </c>
      <c r="J146">
        <v>111</v>
      </c>
      <c r="K146">
        <v>3</v>
      </c>
      <c r="L146">
        <f>IF(MONTH(calls[[#This Row],[Date of Call]])&lt;=6,YEAR(calls[[#This Row],[Date of Call]]),YEAR(calls[[#This Row],[Date of Call]])+1)</f>
        <v>2023</v>
      </c>
      <c r="M146" t="str">
        <f>TEXT(calls[[#This Row],[Date of Call]],"DDDD")</f>
        <v>Tuesday</v>
      </c>
      <c r="N146" t="str" cm="1">
        <f t="array" ref="N14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46">
        <f>ROUND(calls[[#This Row],[Satisfaction Rating]],0)</f>
        <v>3</v>
      </c>
      <c r="P146" s="53">
        <f t="shared" si="2"/>
        <v>307</v>
      </c>
    </row>
    <row r="147" spans="2:16">
      <c r="B147" t="s">
        <v>227</v>
      </c>
      <c r="C147" t="s">
        <v>72</v>
      </c>
      <c r="D147" s="46" t="str" cm="1">
        <f t="array" ref="D147">_xlfn.XLOOKUP(C147,customers[Customer ID],customers[Gender],"")</f>
        <v>Female</v>
      </c>
      <c r="E147" s="46" cm="1">
        <f t="array" ref="E147">_xlfn.XLOOKUP(C147,customers[Customer ID],customers[Age],"")</f>
        <v>25</v>
      </c>
      <c r="F147" s="46" t="str" cm="1">
        <f t="array" ref="F147">_xlfn.XLOOKUP(C147,customers[Customer ID],customers[City],"")</f>
        <v>Columbus</v>
      </c>
      <c r="G147">
        <v>71</v>
      </c>
      <c r="H147" s="47" t="s">
        <v>38</v>
      </c>
      <c r="I147" s="48">
        <v>44985</v>
      </c>
      <c r="J147">
        <v>104</v>
      </c>
      <c r="K147">
        <v>3.1</v>
      </c>
      <c r="L147">
        <f>IF(MONTH(calls[[#This Row],[Date of Call]])&lt;=6,YEAR(calls[[#This Row],[Date of Call]]),YEAR(calls[[#This Row],[Date of Call]])+1)</f>
        <v>2023</v>
      </c>
      <c r="M147" t="str">
        <f>TEXT(calls[[#This Row],[Date of Call]],"DDDD")</f>
        <v>Tuesday</v>
      </c>
      <c r="N147" t="str" cm="1">
        <f t="array" ref="N14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47">
        <f>ROUND(calls[[#This Row],[Satisfaction Rating]],0)</f>
        <v>3</v>
      </c>
      <c r="P147" s="53">
        <f t="shared" si="2"/>
        <v>307</v>
      </c>
    </row>
    <row r="148" spans="2:16">
      <c r="B148" t="s">
        <v>228</v>
      </c>
      <c r="C148" t="s">
        <v>70</v>
      </c>
      <c r="D148" s="46" t="str" cm="1">
        <f t="array" ref="D148">_xlfn.XLOOKUP(C148,customers[Customer ID],customers[Gender],"")</f>
        <v>Male</v>
      </c>
      <c r="E148" s="46" cm="1">
        <f t="array" ref="E148">_xlfn.XLOOKUP(C148,customers[Customer ID],customers[Age],"")</f>
        <v>37</v>
      </c>
      <c r="F148" s="46" t="str" cm="1">
        <f t="array" ref="F148">_xlfn.XLOOKUP(C148,customers[Customer ID],customers[City],"")</f>
        <v>Columbus</v>
      </c>
      <c r="G148">
        <v>53</v>
      </c>
      <c r="H148" s="47" t="s">
        <v>36</v>
      </c>
      <c r="I148" s="48">
        <v>44985</v>
      </c>
      <c r="J148">
        <v>80</v>
      </c>
      <c r="K148">
        <v>2.6</v>
      </c>
      <c r="L148">
        <f>IF(MONTH(calls[[#This Row],[Date of Call]])&lt;=6,YEAR(calls[[#This Row],[Date of Call]]),YEAR(calls[[#This Row],[Date of Call]])+1)</f>
        <v>2023</v>
      </c>
      <c r="M148" t="str">
        <f>TEXT(calls[[#This Row],[Date of Call]],"DDDD")</f>
        <v>Tuesday</v>
      </c>
      <c r="N148" t="str" cm="1">
        <f t="array" ref="N14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48">
        <f>ROUND(calls[[#This Row],[Satisfaction Rating]],0)</f>
        <v>3</v>
      </c>
      <c r="P148" s="53">
        <f t="shared" si="2"/>
        <v>307</v>
      </c>
    </row>
    <row r="149" spans="2:16">
      <c r="B149" t="s">
        <v>229</v>
      </c>
      <c r="C149" t="s">
        <v>61</v>
      </c>
      <c r="D149" s="46" t="str" cm="1">
        <f t="array" ref="D149">_xlfn.XLOOKUP(C149,customers[Customer ID],customers[Gender],"")</f>
        <v>Female</v>
      </c>
      <c r="E149" s="46" cm="1">
        <f t="array" ref="E149">_xlfn.XLOOKUP(C149,customers[Customer ID],customers[Age],"")</f>
        <v>30</v>
      </c>
      <c r="F149" s="46" t="str" cm="1">
        <f t="array" ref="F149">_xlfn.XLOOKUP(C149,customers[Customer ID],customers[City],"")</f>
        <v>Cincinnati</v>
      </c>
      <c r="G149">
        <v>155</v>
      </c>
      <c r="H149" s="47" t="s">
        <v>38</v>
      </c>
      <c r="I149" s="48">
        <v>44986</v>
      </c>
      <c r="J149">
        <v>132</v>
      </c>
      <c r="K149">
        <v>4.6</v>
      </c>
      <c r="L149">
        <f>IF(MONTH(calls[[#This Row],[Date of Call]])&lt;=6,YEAR(calls[[#This Row],[Date of Call]]),YEAR(calls[[#This Row],[Date of Call]])+1)</f>
        <v>2023</v>
      </c>
      <c r="M149" t="str">
        <f>TEXT(calls[[#This Row],[Date of Call]],"DDDD")</f>
        <v>Wednesday</v>
      </c>
      <c r="N149" t="str" cm="1">
        <f t="array" ref="N14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49">
        <f>ROUND(calls[[#This Row],[Satisfaction Rating]],0)</f>
        <v>5</v>
      </c>
      <c r="P149" s="53">
        <f t="shared" si="2"/>
        <v>307</v>
      </c>
    </row>
    <row r="150" spans="2:16">
      <c r="B150" t="s">
        <v>230</v>
      </c>
      <c r="C150" t="s">
        <v>61</v>
      </c>
      <c r="D150" s="46" t="str" cm="1">
        <f t="array" ref="D150">_xlfn.XLOOKUP(C150,customers[Customer ID],customers[Gender],"")</f>
        <v>Female</v>
      </c>
      <c r="E150" s="46" cm="1">
        <f t="array" ref="E150">_xlfn.XLOOKUP(C150,customers[Customer ID],customers[Age],"")</f>
        <v>30</v>
      </c>
      <c r="F150" s="46" t="str" cm="1">
        <f t="array" ref="F150">_xlfn.XLOOKUP(C150,customers[Customer ID],customers[City],"")</f>
        <v>Cincinnati</v>
      </c>
      <c r="G150">
        <v>90</v>
      </c>
      <c r="H150" s="47" t="s">
        <v>39</v>
      </c>
      <c r="I150" s="48">
        <v>44986</v>
      </c>
      <c r="J150">
        <v>170</v>
      </c>
      <c r="K150">
        <v>3.7</v>
      </c>
      <c r="L150">
        <f>IF(MONTH(calls[[#This Row],[Date of Call]])&lt;=6,YEAR(calls[[#This Row],[Date of Call]]),YEAR(calls[[#This Row],[Date of Call]])+1)</f>
        <v>2023</v>
      </c>
      <c r="M150" t="str">
        <f>TEXT(calls[[#This Row],[Date of Call]],"DDDD")</f>
        <v>Wednesday</v>
      </c>
      <c r="N150" t="str" cm="1">
        <f t="array" ref="N15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50">
        <f>ROUND(calls[[#This Row],[Satisfaction Rating]],0)</f>
        <v>4</v>
      </c>
      <c r="P150" s="53">
        <f t="shared" si="2"/>
        <v>307</v>
      </c>
    </row>
    <row r="151" spans="2:16">
      <c r="B151" t="s">
        <v>231</v>
      </c>
      <c r="C151" t="s">
        <v>71</v>
      </c>
      <c r="D151" s="46" t="str" cm="1">
        <f t="array" ref="D151">_xlfn.XLOOKUP(C151,customers[Customer ID],customers[Gender],"")</f>
        <v>Male</v>
      </c>
      <c r="E151" s="46" cm="1">
        <f t="array" ref="E151">_xlfn.XLOOKUP(C151,customers[Customer ID],customers[Age],"")</f>
        <v>23</v>
      </c>
      <c r="F151" s="46" t="str" cm="1">
        <f t="array" ref="F151">_xlfn.XLOOKUP(C151,customers[Customer ID],customers[City],"")</f>
        <v>Columbus</v>
      </c>
      <c r="G151">
        <v>166</v>
      </c>
      <c r="H151" s="47" t="s">
        <v>37</v>
      </c>
      <c r="I151" s="48">
        <v>44986</v>
      </c>
      <c r="J151">
        <v>36</v>
      </c>
      <c r="K151">
        <v>3.8</v>
      </c>
      <c r="L151">
        <f>IF(MONTH(calls[[#This Row],[Date of Call]])&lt;=6,YEAR(calls[[#This Row],[Date of Call]]),YEAR(calls[[#This Row],[Date of Call]])+1)</f>
        <v>2023</v>
      </c>
      <c r="M151" t="str">
        <f>TEXT(calls[[#This Row],[Date of Call]],"DDDD")</f>
        <v>Wednesday</v>
      </c>
      <c r="N151" t="str" cm="1">
        <f t="array" ref="N15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51">
        <f>ROUND(calls[[#This Row],[Satisfaction Rating]],0)</f>
        <v>4</v>
      </c>
      <c r="P151" s="53">
        <f t="shared" si="2"/>
        <v>307</v>
      </c>
    </row>
    <row r="152" spans="2:16">
      <c r="B152" t="s">
        <v>232</v>
      </c>
      <c r="C152" t="s">
        <v>63</v>
      </c>
      <c r="D152" s="46" t="str" cm="1">
        <f t="array" ref="D152">_xlfn.XLOOKUP(C152,customers[Customer ID],customers[Gender],"")</f>
        <v>Male</v>
      </c>
      <c r="E152" s="46" cm="1">
        <f t="array" ref="E152">_xlfn.XLOOKUP(C152,customers[Customer ID],customers[Age],"")</f>
        <v>31</v>
      </c>
      <c r="F152" s="46" t="str" cm="1">
        <f t="array" ref="F152">_xlfn.XLOOKUP(C152,customers[Customer ID],customers[City],"")</f>
        <v>Cleveland</v>
      </c>
      <c r="G152">
        <v>89</v>
      </c>
      <c r="H152" s="47" t="s">
        <v>38</v>
      </c>
      <c r="I152" s="48">
        <v>44986</v>
      </c>
      <c r="J152">
        <v>126</v>
      </c>
      <c r="K152">
        <v>3.6</v>
      </c>
      <c r="L152">
        <f>IF(MONTH(calls[[#This Row],[Date of Call]])&lt;=6,YEAR(calls[[#This Row],[Date of Call]]),YEAR(calls[[#This Row],[Date of Call]])+1)</f>
        <v>2023</v>
      </c>
      <c r="M152" t="str">
        <f>TEXT(calls[[#This Row],[Date of Call]],"DDDD")</f>
        <v>Wednesday</v>
      </c>
      <c r="N152" t="str" cm="1">
        <f t="array" ref="N15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52">
        <f>ROUND(calls[[#This Row],[Satisfaction Rating]],0)</f>
        <v>4</v>
      </c>
      <c r="P152" s="53">
        <f t="shared" si="2"/>
        <v>307</v>
      </c>
    </row>
    <row r="153" spans="2:16">
      <c r="B153" t="s">
        <v>233</v>
      </c>
      <c r="C153" t="s">
        <v>68</v>
      </c>
      <c r="D153" s="46" t="str" cm="1">
        <f t="array" ref="D153">_xlfn.XLOOKUP(C153,customers[Customer ID],customers[Gender],"")</f>
        <v>Female</v>
      </c>
      <c r="E153" s="46" cm="1">
        <f t="array" ref="E153">_xlfn.XLOOKUP(C153,customers[Customer ID],customers[Age],"")</f>
        <v>43</v>
      </c>
      <c r="F153" s="46" t="str" cm="1">
        <f t="array" ref="F153">_xlfn.XLOOKUP(C153,customers[Customer ID],customers[City],"")</f>
        <v>Cleveland</v>
      </c>
      <c r="G153">
        <v>152</v>
      </c>
      <c r="H153" s="47" t="s">
        <v>36</v>
      </c>
      <c r="I153" s="48">
        <v>44986</v>
      </c>
      <c r="J153">
        <v>215</v>
      </c>
      <c r="K153">
        <v>4.4</v>
      </c>
      <c r="L153">
        <f>IF(MONTH(calls[[#This Row],[Date of Call]])&lt;=6,YEAR(calls[[#This Row],[Date of Call]]),YEAR(calls[[#This Row],[Date of Call]])+1)</f>
        <v>2023</v>
      </c>
      <c r="M153" t="str">
        <f>TEXT(calls[[#This Row],[Date of Call]],"DDDD")</f>
        <v>Wednesday</v>
      </c>
      <c r="N153" t="str" cm="1">
        <f t="array" ref="N15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53">
        <f>ROUND(calls[[#This Row],[Satisfaction Rating]],0)</f>
        <v>4</v>
      </c>
      <c r="P153" s="53">
        <f t="shared" si="2"/>
        <v>307</v>
      </c>
    </row>
    <row r="154" spans="2:16">
      <c r="B154" t="s">
        <v>234</v>
      </c>
      <c r="C154" t="s">
        <v>63</v>
      </c>
      <c r="D154" s="46" t="str" cm="1">
        <f t="array" ref="D154">_xlfn.XLOOKUP(C154,customers[Customer ID],customers[Gender],"")</f>
        <v>Male</v>
      </c>
      <c r="E154" s="46" cm="1">
        <f t="array" ref="E154">_xlfn.XLOOKUP(C154,customers[Customer ID],customers[Age],"")</f>
        <v>31</v>
      </c>
      <c r="F154" s="46" t="str" cm="1">
        <f t="array" ref="F154">_xlfn.XLOOKUP(C154,customers[Customer ID],customers[City],"")</f>
        <v>Cleveland</v>
      </c>
      <c r="G154">
        <v>137</v>
      </c>
      <c r="H154" s="47" t="s">
        <v>39</v>
      </c>
      <c r="I154" s="48">
        <v>44986</v>
      </c>
      <c r="J154">
        <v>114</v>
      </c>
      <c r="K154">
        <v>3.2</v>
      </c>
      <c r="L154">
        <f>IF(MONTH(calls[[#This Row],[Date of Call]])&lt;=6,YEAR(calls[[#This Row],[Date of Call]]),YEAR(calls[[#This Row],[Date of Call]])+1)</f>
        <v>2023</v>
      </c>
      <c r="M154" t="str">
        <f>TEXT(calls[[#This Row],[Date of Call]],"DDDD")</f>
        <v>Wednesday</v>
      </c>
      <c r="N154" t="str" cm="1">
        <f t="array" ref="N15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54">
        <f>ROUND(calls[[#This Row],[Satisfaction Rating]],0)</f>
        <v>3</v>
      </c>
      <c r="P154" s="53">
        <f t="shared" si="2"/>
        <v>307</v>
      </c>
    </row>
    <row r="155" spans="2:16">
      <c r="B155" t="s">
        <v>235</v>
      </c>
      <c r="C155" t="s">
        <v>63</v>
      </c>
      <c r="D155" s="46" t="str" cm="1">
        <f t="array" ref="D155">_xlfn.XLOOKUP(C155,customers[Customer ID],customers[Gender],"")</f>
        <v>Male</v>
      </c>
      <c r="E155" s="46" cm="1">
        <f t="array" ref="E155">_xlfn.XLOOKUP(C155,customers[Customer ID],customers[Age],"")</f>
        <v>31</v>
      </c>
      <c r="F155" s="46" t="str" cm="1">
        <f t="array" ref="F155">_xlfn.XLOOKUP(C155,customers[Customer ID],customers[City],"")</f>
        <v>Cleveland</v>
      </c>
      <c r="G155">
        <v>43</v>
      </c>
      <c r="H155" s="47" t="s">
        <v>39</v>
      </c>
      <c r="I155" s="48">
        <v>44986</v>
      </c>
      <c r="J155">
        <v>99</v>
      </c>
      <c r="K155">
        <v>4.7</v>
      </c>
      <c r="L155">
        <f>IF(MONTH(calls[[#This Row],[Date of Call]])&lt;=6,YEAR(calls[[#This Row],[Date of Call]]),YEAR(calls[[#This Row],[Date of Call]])+1)</f>
        <v>2023</v>
      </c>
      <c r="M155" t="str">
        <f>TEXT(calls[[#This Row],[Date of Call]],"DDDD")</f>
        <v>Wednesday</v>
      </c>
      <c r="N155" t="str" cm="1">
        <f t="array" ref="N15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55">
        <f>ROUND(calls[[#This Row],[Satisfaction Rating]],0)</f>
        <v>5</v>
      </c>
      <c r="P155" s="53">
        <f t="shared" si="2"/>
        <v>307</v>
      </c>
    </row>
    <row r="156" spans="2:16">
      <c r="B156" t="s">
        <v>236</v>
      </c>
      <c r="C156" t="s">
        <v>66</v>
      </c>
      <c r="D156" s="46" t="str" cm="1">
        <f t="array" ref="D156">_xlfn.XLOOKUP(C156,customers[Customer ID],customers[Gender],"")</f>
        <v>Female</v>
      </c>
      <c r="E156" s="46" cm="1">
        <f t="array" ref="E156">_xlfn.XLOOKUP(C156,customers[Customer ID],customers[Age],"")</f>
        <v>30</v>
      </c>
      <c r="F156" s="46" t="str" cm="1">
        <f t="array" ref="F156">_xlfn.XLOOKUP(C156,customers[Customer ID],customers[City],"")</f>
        <v>Cleveland</v>
      </c>
      <c r="G156">
        <v>114</v>
      </c>
      <c r="H156" s="47" t="s">
        <v>39</v>
      </c>
      <c r="I156" s="48">
        <v>44987</v>
      </c>
      <c r="J156">
        <v>23</v>
      </c>
      <c r="K156">
        <v>4.8</v>
      </c>
      <c r="L156">
        <f>IF(MONTH(calls[[#This Row],[Date of Call]])&lt;=6,YEAR(calls[[#This Row],[Date of Call]]),YEAR(calls[[#This Row],[Date of Call]])+1)</f>
        <v>2023</v>
      </c>
      <c r="M156" t="str">
        <f>TEXT(calls[[#This Row],[Date of Call]],"DDDD")</f>
        <v>Thursday</v>
      </c>
      <c r="N156" t="str" cm="1">
        <f t="array" ref="N1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56">
        <f>ROUND(calls[[#This Row],[Satisfaction Rating]],0)</f>
        <v>5</v>
      </c>
      <c r="P156" s="53">
        <f t="shared" si="2"/>
        <v>307</v>
      </c>
    </row>
    <row r="157" spans="2:16">
      <c r="B157" t="s">
        <v>237</v>
      </c>
      <c r="C157" t="s">
        <v>73</v>
      </c>
      <c r="D157" s="46" t="str" cm="1">
        <f t="array" ref="D157">_xlfn.XLOOKUP(C157,customers[Customer ID],customers[Gender],"")</f>
        <v>Female</v>
      </c>
      <c r="E157" s="46" cm="1">
        <f t="array" ref="E157">_xlfn.XLOOKUP(C157,customers[Customer ID],customers[Age],"")</f>
        <v>38</v>
      </c>
      <c r="F157" s="46" t="str" cm="1">
        <f t="array" ref="F157">_xlfn.XLOOKUP(C157,customers[Customer ID],customers[City],"")</f>
        <v>Columbus</v>
      </c>
      <c r="G157">
        <v>103</v>
      </c>
      <c r="H157" s="47" t="s">
        <v>38</v>
      </c>
      <c r="I157" s="48">
        <v>44987</v>
      </c>
      <c r="J157">
        <v>75</v>
      </c>
      <c r="K157">
        <v>2.7</v>
      </c>
      <c r="L157">
        <f>IF(MONTH(calls[[#This Row],[Date of Call]])&lt;=6,YEAR(calls[[#This Row],[Date of Call]]),YEAR(calls[[#This Row],[Date of Call]])+1)</f>
        <v>2023</v>
      </c>
      <c r="M157" t="str">
        <f>TEXT(calls[[#This Row],[Date of Call]],"DDDD")</f>
        <v>Thursday</v>
      </c>
      <c r="N157" t="str" cm="1">
        <f t="array" ref="N15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57">
        <f>ROUND(calls[[#This Row],[Satisfaction Rating]],0)</f>
        <v>3</v>
      </c>
      <c r="P157" s="53">
        <f t="shared" si="2"/>
        <v>307</v>
      </c>
    </row>
    <row r="158" spans="2:16">
      <c r="B158" t="s">
        <v>238</v>
      </c>
      <c r="C158" t="s">
        <v>63</v>
      </c>
      <c r="D158" s="46" t="str" cm="1">
        <f t="array" ref="D158">_xlfn.XLOOKUP(C158,customers[Customer ID],customers[Gender],"")</f>
        <v>Male</v>
      </c>
      <c r="E158" s="46" cm="1">
        <f t="array" ref="E158">_xlfn.XLOOKUP(C158,customers[Customer ID],customers[Age],"")</f>
        <v>31</v>
      </c>
      <c r="F158" s="46" t="str" cm="1">
        <f t="array" ref="F158">_xlfn.XLOOKUP(C158,customers[Customer ID],customers[City],"")</f>
        <v>Cleveland</v>
      </c>
      <c r="G158">
        <v>98</v>
      </c>
      <c r="H158" s="47" t="s">
        <v>36</v>
      </c>
      <c r="I158" s="48">
        <v>44987</v>
      </c>
      <c r="J158">
        <v>100</v>
      </c>
      <c r="K158">
        <v>3.8</v>
      </c>
      <c r="L158">
        <f>IF(MONTH(calls[[#This Row],[Date of Call]])&lt;=6,YEAR(calls[[#This Row],[Date of Call]]),YEAR(calls[[#This Row],[Date of Call]])+1)</f>
        <v>2023</v>
      </c>
      <c r="M158" t="str">
        <f>TEXT(calls[[#This Row],[Date of Call]],"DDDD")</f>
        <v>Thursday</v>
      </c>
      <c r="N158" t="str" cm="1">
        <f t="array" ref="N1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58">
        <f>ROUND(calls[[#This Row],[Satisfaction Rating]],0)</f>
        <v>4</v>
      </c>
      <c r="P158" s="53">
        <f t="shared" si="2"/>
        <v>307</v>
      </c>
    </row>
    <row r="159" spans="2:16">
      <c r="B159" t="s">
        <v>239</v>
      </c>
      <c r="C159" t="s">
        <v>71</v>
      </c>
      <c r="D159" s="46" t="str" cm="1">
        <f t="array" ref="D159">_xlfn.XLOOKUP(C159,customers[Customer ID],customers[Gender],"")</f>
        <v>Male</v>
      </c>
      <c r="E159" s="46" cm="1">
        <f t="array" ref="E159">_xlfn.XLOOKUP(C159,customers[Customer ID],customers[Age],"")</f>
        <v>23</v>
      </c>
      <c r="F159" s="46" t="str" cm="1">
        <f t="array" ref="F159">_xlfn.XLOOKUP(C159,customers[Customer ID],customers[City],"")</f>
        <v>Columbus</v>
      </c>
      <c r="G159">
        <v>106</v>
      </c>
      <c r="H159" s="47" t="s">
        <v>37</v>
      </c>
      <c r="I159" s="48">
        <v>44987</v>
      </c>
      <c r="J159">
        <v>108</v>
      </c>
      <c r="K159">
        <v>4.3</v>
      </c>
      <c r="L159">
        <f>IF(MONTH(calls[[#This Row],[Date of Call]])&lt;=6,YEAR(calls[[#This Row],[Date of Call]]),YEAR(calls[[#This Row],[Date of Call]])+1)</f>
        <v>2023</v>
      </c>
      <c r="M159" t="str">
        <f>TEXT(calls[[#This Row],[Date of Call]],"DDDD")</f>
        <v>Thursday</v>
      </c>
      <c r="N159" t="str" cm="1">
        <f t="array" ref="N15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59">
        <f>ROUND(calls[[#This Row],[Satisfaction Rating]],0)</f>
        <v>4</v>
      </c>
      <c r="P159" s="53">
        <f t="shared" si="2"/>
        <v>307</v>
      </c>
    </row>
    <row r="160" spans="2:16">
      <c r="B160" t="s">
        <v>240</v>
      </c>
      <c r="C160" t="s">
        <v>60</v>
      </c>
      <c r="D160" s="46" t="str" cm="1">
        <f t="array" ref="D160">_xlfn.XLOOKUP(C160,customers[Customer ID],customers[Gender],"")</f>
        <v>Male</v>
      </c>
      <c r="E160" s="46" cm="1">
        <f t="array" ref="E160">_xlfn.XLOOKUP(C160,customers[Customer ID],customers[Age],"")</f>
        <v>36</v>
      </c>
      <c r="F160" s="46" t="str" cm="1">
        <f t="array" ref="F160">_xlfn.XLOOKUP(C160,customers[Customer ID],customers[City],"")</f>
        <v>Cincinnati</v>
      </c>
      <c r="G160">
        <v>96</v>
      </c>
      <c r="H160" s="47" t="s">
        <v>37</v>
      </c>
      <c r="I160" s="48">
        <v>44987</v>
      </c>
      <c r="J160">
        <v>108</v>
      </c>
      <c r="K160">
        <v>5</v>
      </c>
      <c r="L160">
        <f>IF(MONTH(calls[[#This Row],[Date of Call]])&lt;=6,YEAR(calls[[#This Row],[Date of Call]]),YEAR(calls[[#This Row],[Date of Call]])+1)</f>
        <v>2023</v>
      </c>
      <c r="M160" t="str">
        <f>TEXT(calls[[#This Row],[Date of Call]],"DDDD")</f>
        <v>Thursday</v>
      </c>
      <c r="N160" t="str" cm="1">
        <f t="array" ref="N1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60">
        <f>ROUND(calls[[#This Row],[Satisfaction Rating]],0)</f>
        <v>5</v>
      </c>
      <c r="P160" s="53">
        <f t="shared" si="2"/>
        <v>307</v>
      </c>
    </row>
    <row r="161" spans="2:16">
      <c r="B161" t="s">
        <v>241</v>
      </c>
      <c r="C161" t="s">
        <v>73</v>
      </c>
      <c r="D161" s="46" t="str" cm="1">
        <f t="array" ref="D161">_xlfn.XLOOKUP(C161,customers[Customer ID],customers[Gender],"")</f>
        <v>Female</v>
      </c>
      <c r="E161" s="46" cm="1">
        <f t="array" ref="E161">_xlfn.XLOOKUP(C161,customers[Customer ID],customers[Age],"")</f>
        <v>38</v>
      </c>
      <c r="F161" s="46" t="str" cm="1">
        <f t="array" ref="F161">_xlfn.XLOOKUP(C161,customers[Customer ID],customers[City],"")</f>
        <v>Columbus</v>
      </c>
      <c r="G161">
        <v>70</v>
      </c>
      <c r="H161" s="47" t="s">
        <v>37</v>
      </c>
      <c r="I161" s="48">
        <v>44987</v>
      </c>
      <c r="J161">
        <v>28</v>
      </c>
      <c r="K161">
        <v>4.8</v>
      </c>
      <c r="L161">
        <f>IF(MONTH(calls[[#This Row],[Date of Call]])&lt;=6,YEAR(calls[[#This Row],[Date of Call]]),YEAR(calls[[#This Row],[Date of Call]])+1)</f>
        <v>2023</v>
      </c>
      <c r="M161" t="str">
        <f>TEXT(calls[[#This Row],[Date of Call]],"DDDD")</f>
        <v>Thursday</v>
      </c>
      <c r="N161" t="str" cm="1">
        <f t="array" ref="N16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61">
        <f>ROUND(calls[[#This Row],[Satisfaction Rating]],0)</f>
        <v>5</v>
      </c>
      <c r="P161" s="53">
        <f t="shared" si="2"/>
        <v>307</v>
      </c>
    </row>
    <row r="162" spans="2:16">
      <c r="B162" t="s">
        <v>242</v>
      </c>
      <c r="C162" t="s">
        <v>72</v>
      </c>
      <c r="D162" s="46" t="str" cm="1">
        <f t="array" ref="D162">_xlfn.XLOOKUP(C162,customers[Customer ID],customers[Gender],"")</f>
        <v>Female</v>
      </c>
      <c r="E162" s="46" cm="1">
        <f t="array" ref="E162">_xlfn.XLOOKUP(C162,customers[Customer ID],customers[Age],"")</f>
        <v>25</v>
      </c>
      <c r="F162" s="46" t="str" cm="1">
        <f t="array" ref="F162">_xlfn.XLOOKUP(C162,customers[Customer ID],customers[City],"")</f>
        <v>Columbus</v>
      </c>
      <c r="G162">
        <v>86</v>
      </c>
      <c r="H162" s="47" t="s">
        <v>40</v>
      </c>
      <c r="I162" s="48">
        <v>44988</v>
      </c>
      <c r="J162">
        <v>70</v>
      </c>
      <c r="K162">
        <v>4.9</v>
      </c>
      <c r="L162">
        <f>IF(MONTH(calls[[#This Row],[Date of Call]])&lt;=6,YEAR(calls[[#This Row],[Date of Call]]),YEAR(calls[[#This Row],[Date of Call]])+1)</f>
        <v>2023</v>
      </c>
      <c r="M162" t="str">
        <f>TEXT(calls[[#This Row],[Date of Call]],"DDDD")</f>
        <v>Friday</v>
      </c>
      <c r="N162" t="str" cm="1">
        <f t="array" ref="N1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62">
        <f>ROUND(calls[[#This Row],[Satisfaction Rating]],0)</f>
        <v>5</v>
      </c>
      <c r="P162" s="53">
        <f t="shared" si="2"/>
        <v>307</v>
      </c>
    </row>
    <row r="163" spans="2:16">
      <c r="B163" t="s">
        <v>243</v>
      </c>
      <c r="C163" t="s">
        <v>70</v>
      </c>
      <c r="D163" s="46" t="str" cm="1">
        <f t="array" ref="D163">_xlfn.XLOOKUP(C163,customers[Customer ID],customers[Gender],"")</f>
        <v>Male</v>
      </c>
      <c r="E163" s="46" cm="1">
        <f t="array" ref="E163">_xlfn.XLOOKUP(C163,customers[Customer ID],customers[Age],"")</f>
        <v>37</v>
      </c>
      <c r="F163" s="46" t="str" cm="1">
        <f t="array" ref="F163">_xlfn.XLOOKUP(C163,customers[Customer ID],customers[City],"")</f>
        <v>Columbus</v>
      </c>
      <c r="G163">
        <v>64</v>
      </c>
      <c r="H163" s="47" t="s">
        <v>40</v>
      </c>
      <c r="I163" s="48">
        <v>44988</v>
      </c>
      <c r="J163">
        <v>172</v>
      </c>
      <c r="K163">
        <v>4.1</v>
      </c>
      <c r="L163">
        <f>IF(MONTH(calls[[#This Row],[Date of Call]])&lt;=6,YEAR(calls[[#This Row],[Date of Call]]),YEAR(calls[[#This Row],[Date of Call]])+1)</f>
        <v>2023</v>
      </c>
      <c r="M163" t="str">
        <f>TEXT(calls[[#This Row],[Date of Call]],"DDDD")</f>
        <v>Friday</v>
      </c>
      <c r="N163" t="str" cm="1">
        <f t="array" ref="N16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63">
        <f>ROUND(calls[[#This Row],[Satisfaction Rating]],0)</f>
        <v>4</v>
      </c>
      <c r="P163" s="53">
        <f t="shared" si="2"/>
        <v>307</v>
      </c>
    </row>
    <row r="164" spans="2:16">
      <c r="B164" t="s">
        <v>244</v>
      </c>
      <c r="C164" t="s">
        <v>60</v>
      </c>
      <c r="D164" s="46" t="str" cm="1">
        <f t="array" ref="D164">_xlfn.XLOOKUP(C164,customers[Customer ID],customers[Gender],"")</f>
        <v>Male</v>
      </c>
      <c r="E164" s="46" cm="1">
        <f t="array" ref="E164">_xlfn.XLOOKUP(C164,customers[Customer ID],customers[Age],"")</f>
        <v>36</v>
      </c>
      <c r="F164" s="46" t="str" cm="1">
        <f t="array" ref="F164">_xlfn.XLOOKUP(C164,customers[Customer ID],customers[City],"")</f>
        <v>Cincinnati</v>
      </c>
      <c r="G164">
        <v>113</v>
      </c>
      <c r="H164" s="47" t="s">
        <v>36</v>
      </c>
      <c r="I164" s="48">
        <v>44988</v>
      </c>
      <c r="J164">
        <v>123</v>
      </c>
      <c r="K164">
        <v>4.4</v>
      </c>
      <c r="L164">
        <f>IF(MONTH(calls[[#This Row],[Date of Call]])&lt;=6,YEAR(calls[[#This Row],[Date of Call]]),YEAR(calls[[#This Row],[Date of Call]])+1)</f>
        <v>2023</v>
      </c>
      <c r="M164" t="str">
        <f>TEXT(calls[[#This Row],[Date of Call]],"DDDD")</f>
        <v>Friday</v>
      </c>
      <c r="N164" t="str" cm="1">
        <f t="array" ref="N1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64">
        <f>ROUND(calls[[#This Row],[Satisfaction Rating]],0)</f>
        <v>4</v>
      </c>
      <c r="P164" s="53">
        <f t="shared" si="2"/>
        <v>307</v>
      </c>
    </row>
    <row r="165" spans="2:16">
      <c r="B165" t="s">
        <v>245</v>
      </c>
      <c r="C165" t="s">
        <v>60</v>
      </c>
      <c r="D165" s="46" t="str" cm="1">
        <f t="array" ref="D165">_xlfn.XLOOKUP(C165,customers[Customer ID],customers[Gender],"")</f>
        <v>Male</v>
      </c>
      <c r="E165" s="46" cm="1">
        <f t="array" ref="E165">_xlfn.XLOOKUP(C165,customers[Customer ID],customers[Age],"")</f>
        <v>36</v>
      </c>
      <c r="F165" s="46" t="str" cm="1">
        <f t="array" ref="F165">_xlfn.XLOOKUP(C165,customers[Customer ID],customers[City],"")</f>
        <v>Cincinnati</v>
      </c>
      <c r="G165">
        <v>21</v>
      </c>
      <c r="H165" s="47" t="s">
        <v>37</v>
      </c>
      <c r="I165" s="48">
        <v>44988</v>
      </c>
      <c r="J165">
        <v>93</v>
      </c>
      <c r="K165">
        <v>3.4</v>
      </c>
      <c r="L165">
        <f>IF(MONTH(calls[[#This Row],[Date of Call]])&lt;=6,YEAR(calls[[#This Row],[Date of Call]]),YEAR(calls[[#This Row],[Date of Call]])+1)</f>
        <v>2023</v>
      </c>
      <c r="M165" t="str">
        <f>TEXT(calls[[#This Row],[Date of Call]],"DDDD")</f>
        <v>Friday</v>
      </c>
      <c r="N165" t="str" cm="1">
        <f t="array" ref="N16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165">
        <f>ROUND(calls[[#This Row],[Satisfaction Rating]],0)</f>
        <v>3</v>
      </c>
      <c r="P165" s="53">
        <f t="shared" si="2"/>
        <v>307</v>
      </c>
    </row>
    <row r="166" spans="2:16">
      <c r="B166" t="s">
        <v>246</v>
      </c>
      <c r="C166" t="s">
        <v>62</v>
      </c>
      <c r="D166" s="46" t="str" cm="1">
        <f t="array" ref="D166">_xlfn.XLOOKUP(C166,customers[Customer ID],customers[Gender],"")</f>
        <v>Female</v>
      </c>
      <c r="E166" s="46" cm="1">
        <f t="array" ref="E166">_xlfn.XLOOKUP(C166,customers[Customer ID],customers[Age],"")</f>
        <v>28</v>
      </c>
      <c r="F166" s="46" t="str" cm="1">
        <f t="array" ref="F166">_xlfn.XLOOKUP(C166,customers[Customer ID],customers[City],"")</f>
        <v>Cincinnati</v>
      </c>
      <c r="G166">
        <v>107</v>
      </c>
      <c r="H166" s="47" t="s">
        <v>40</v>
      </c>
      <c r="I166" s="48">
        <v>44988</v>
      </c>
      <c r="J166">
        <v>66</v>
      </c>
      <c r="K166">
        <v>4</v>
      </c>
      <c r="L166">
        <f>IF(MONTH(calls[[#This Row],[Date of Call]])&lt;=6,YEAR(calls[[#This Row],[Date of Call]]),YEAR(calls[[#This Row],[Date of Call]])+1)</f>
        <v>2023</v>
      </c>
      <c r="M166" t="str">
        <f>TEXT(calls[[#This Row],[Date of Call]],"DDDD")</f>
        <v>Friday</v>
      </c>
      <c r="N166" t="str" cm="1">
        <f t="array" ref="N16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66">
        <f>ROUND(calls[[#This Row],[Satisfaction Rating]],0)</f>
        <v>4</v>
      </c>
      <c r="P166" s="53">
        <f t="shared" si="2"/>
        <v>307</v>
      </c>
    </row>
    <row r="167" spans="2:16">
      <c r="B167" t="s">
        <v>247</v>
      </c>
      <c r="C167" t="s">
        <v>62</v>
      </c>
      <c r="D167" s="46" t="str" cm="1">
        <f t="array" ref="D167">_xlfn.XLOOKUP(C167,customers[Customer ID],customers[Gender],"")</f>
        <v>Female</v>
      </c>
      <c r="E167" s="46" cm="1">
        <f t="array" ref="E167">_xlfn.XLOOKUP(C167,customers[Customer ID],customers[Age],"")</f>
        <v>28</v>
      </c>
      <c r="F167" s="46" t="str" cm="1">
        <f t="array" ref="F167">_xlfn.XLOOKUP(C167,customers[Customer ID],customers[City],"")</f>
        <v>Cincinnati</v>
      </c>
      <c r="G167">
        <v>131</v>
      </c>
      <c r="H167" s="47" t="s">
        <v>37</v>
      </c>
      <c r="I167" s="48">
        <v>44988</v>
      </c>
      <c r="J167">
        <v>39</v>
      </c>
      <c r="K167">
        <v>2.4</v>
      </c>
      <c r="L167">
        <f>IF(MONTH(calls[[#This Row],[Date of Call]])&lt;=6,YEAR(calls[[#This Row],[Date of Call]]),YEAR(calls[[#This Row],[Date of Call]])+1)</f>
        <v>2023</v>
      </c>
      <c r="M167" t="str">
        <f>TEXT(calls[[#This Row],[Date of Call]],"DDDD")</f>
        <v>Friday</v>
      </c>
      <c r="N167" t="str" cm="1">
        <f t="array" ref="N16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67">
        <f>ROUND(calls[[#This Row],[Satisfaction Rating]],0)</f>
        <v>2</v>
      </c>
      <c r="P167" s="53">
        <f t="shared" si="2"/>
        <v>307</v>
      </c>
    </row>
    <row r="168" spans="2:16">
      <c r="B168" t="s">
        <v>248</v>
      </c>
      <c r="C168" t="s">
        <v>59</v>
      </c>
      <c r="D168" s="46" t="str" cm="1">
        <f t="array" ref="D168">_xlfn.XLOOKUP(C168,customers[Customer ID],customers[Gender],"")</f>
        <v>Male</v>
      </c>
      <c r="E168" s="46" cm="1">
        <f t="array" ref="E168">_xlfn.XLOOKUP(C168,customers[Customer ID],customers[Age],"")</f>
        <v>26</v>
      </c>
      <c r="F168" s="46" t="str" cm="1">
        <f t="array" ref="F168">_xlfn.XLOOKUP(C168,customers[Customer ID],customers[City],"")</f>
        <v>Cincinnati</v>
      </c>
      <c r="G168">
        <v>11</v>
      </c>
      <c r="H168" s="47" t="s">
        <v>38</v>
      </c>
      <c r="I168" s="48">
        <v>44988</v>
      </c>
      <c r="J168">
        <v>25</v>
      </c>
      <c r="K168">
        <v>2.1</v>
      </c>
      <c r="L168">
        <f>IF(MONTH(calls[[#This Row],[Date of Call]])&lt;=6,YEAR(calls[[#This Row],[Date of Call]]),YEAR(calls[[#This Row],[Date of Call]])+1)</f>
        <v>2023</v>
      </c>
      <c r="M168" t="str">
        <f>TEXT(calls[[#This Row],[Date of Call]],"DDDD")</f>
        <v>Friday</v>
      </c>
      <c r="N168" t="str" cm="1">
        <f t="array" ref="N168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168">
        <f>ROUND(calls[[#This Row],[Satisfaction Rating]],0)</f>
        <v>2</v>
      </c>
      <c r="P168" s="53">
        <f t="shared" si="2"/>
        <v>307</v>
      </c>
    </row>
    <row r="169" spans="2:16">
      <c r="B169" t="s">
        <v>249</v>
      </c>
      <c r="C169" t="s">
        <v>69</v>
      </c>
      <c r="D169" s="46" t="str" cm="1">
        <f t="array" ref="D169">_xlfn.XLOOKUP(C169,customers[Customer ID],customers[Gender],"")</f>
        <v>Male</v>
      </c>
      <c r="E169" s="46" cm="1">
        <f t="array" ref="E169">_xlfn.XLOOKUP(C169,customers[Customer ID],customers[Age],"")</f>
        <v>41</v>
      </c>
      <c r="F169" s="46" t="str" cm="1">
        <f t="array" ref="F169">_xlfn.XLOOKUP(C169,customers[Customer ID],customers[City],"")</f>
        <v>Columbus</v>
      </c>
      <c r="G169">
        <v>86</v>
      </c>
      <c r="H169" s="47" t="s">
        <v>36</v>
      </c>
      <c r="I169" s="48">
        <v>44988</v>
      </c>
      <c r="J169">
        <v>68</v>
      </c>
      <c r="K169">
        <v>3</v>
      </c>
      <c r="L169">
        <f>IF(MONTH(calls[[#This Row],[Date of Call]])&lt;=6,YEAR(calls[[#This Row],[Date of Call]]),YEAR(calls[[#This Row],[Date of Call]])+1)</f>
        <v>2023</v>
      </c>
      <c r="M169" t="str">
        <f>TEXT(calls[[#This Row],[Date of Call]],"DDDD")</f>
        <v>Friday</v>
      </c>
      <c r="N169" t="str" cm="1">
        <f t="array" ref="N16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69">
        <f>ROUND(calls[[#This Row],[Satisfaction Rating]],0)</f>
        <v>3</v>
      </c>
      <c r="P169" s="53">
        <f t="shared" si="2"/>
        <v>307</v>
      </c>
    </row>
    <row r="170" spans="2:16">
      <c r="B170" t="s">
        <v>250</v>
      </c>
      <c r="C170" t="s">
        <v>70</v>
      </c>
      <c r="D170" s="46" t="str" cm="1">
        <f t="array" ref="D170">_xlfn.XLOOKUP(C170,customers[Customer ID],customers[Gender],"")</f>
        <v>Male</v>
      </c>
      <c r="E170" s="46" cm="1">
        <f t="array" ref="E170">_xlfn.XLOOKUP(C170,customers[Customer ID],customers[Age],"")</f>
        <v>37</v>
      </c>
      <c r="F170" s="46" t="str" cm="1">
        <f t="array" ref="F170">_xlfn.XLOOKUP(C170,customers[Customer ID],customers[City],"")</f>
        <v>Columbus</v>
      </c>
      <c r="G170">
        <v>28</v>
      </c>
      <c r="H170" s="47" t="s">
        <v>38</v>
      </c>
      <c r="I170" s="48">
        <v>44988</v>
      </c>
      <c r="J170">
        <v>84</v>
      </c>
      <c r="K170">
        <v>3.2</v>
      </c>
      <c r="L170">
        <f>IF(MONTH(calls[[#This Row],[Date of Call]])&lt;=6,YEAR(calls[[#This Row],[Date of Call]]),YEAR(calls[[#This Row],[Date of Call]])+1)</f>
        <v>2023</v>
      </c>
      <c r="M170" t="str">
        <f>TEXT(calls[[#This Row],[Date of Call]],"DDDD")</f>
        <v>Friday</v>
      </c>
      <c r="N170" t="str" cm="1">
        <f t="array" ref="N170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170">
        <f>ROUND(calls[[#This Row],[Satisfaction Rating]],0)</f>
        <v>3</v>
      </c>
      <c r="P170" s="53">
        <f t="shared" si="2"/>
        <v>307</v>
      </c>
    </row>
    <row r="171" spans="2:16">
      <c r="B171" t="s">
        <v>251</v>
      </c>
      <c r="C171" t="s">
        <v>61</v>
      </c>
      <c r="D171" s="46" t="str" cm="1">
        <f t="array" ref="D171">_xlfn.XLOOKUP(C171,customers[Customer ID],customers[Gender],"")</f>
        <v>Female</v>
      </c>
      <c r="E171" s="46" cm="1">
        <f t="array" ref="E171">_xlfn.XLOOKUP(C171,customers[Customer ID],customers[Age],"")</f>
        <v>30</v>
      </c>
      <c r="F171" s="46" t="str" cm="1">
        <f t="array" ref="F171">_xlfn.XLOOKUP(C171,customers[Customer ID],customers[City],"")</f>
        <v>Cincinnati</v>
      </c>
      <c r="G171">
        <v>139</v>
      </c>
      <c r="H171" s="47" t="s">
        <v>37</v>
      </c>
      <c r="I171" s="48">
        <v>44989</v>
      </c>
      <c r="J171">
        <v>88</v>
      </c>
      <c r="K171">
        <v>3.4</v>
      </c>
      <c r="L171">
        <f>IF(MONTH(calls[[#This Row],[Date of Call]])&lt;=6,YEAR(calls[[#This Row],[Date of Call]]),YEAR(calls[[#This Row],[Date of Call]])+1)</f>
        <v>2023</v>
      </c>
      <c r="M171" t="str">
        <f>TEXT(calls[[#This Row],[Date of Call]],"DDDD")</f>
        <v>Saturday</v>
      </c>
      <c r="N171" t="str" cm="1">
        <f t="array" ref="N17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71">
        <f>ROUND(calls[[#This Row],[Satisfaction Rating]],0)</f>
        <v>3</v>
      </c>
      <c r="P171" s="53">
        <f t="shared" si="2"/>
        <v>307</v>
      </c>
    </row>
    <row r="172" spans="2:16">
      <c r="B172" t="s">
        <v>252</v>
      </c>
      <c r="C172" t="s">
        <v>71</v>
      </c>
      <c r="D172" s="46" t="str" cm="1">
        <f t="array" ref="D172">_xlfn.XLOOKUP(C172,customers[Customer ID],customers[Gender],"")</f>
        <v>Male</v>
      </c>
      <c r="E172" s="46" cm="1">
        <f t="array" ref="E172">_xlfn.XLOOKUP(C172,customers[Customer ID],customers[Age],"")</f>
        <v>23</v>
      </c>
      <c r="F172" s="46" t="str" cm="1">
        <f t="array" ref="F172">_xlfn.XLOOKUP(C172,customers[Customer ID],customers[City],"")</f>
        <v>Columbus</v>
      </c>
      <c r="G172">
        <v>82</v>
      </c>
      <c r="H172" s="47" t="s">
        <v>36</v>
      </c>
      <c r="I172" s="48">
        <v>44989</v>
      </c>
      <c r="J172">
        <v>93</v>
      </c>
      <c r="K172">
        <v>2.7</v>
      </c>
      <c r="L172">
        <f>IF(MONTH(calls[[#This Row],[Date of Call]])&lt;=6,YEAR(calls[[#This Row],[Date of Call]]),YEAR(calls[[#This Row],[Date of Call]])+1)</f>
        <v>2023</v>
      </c>
      <c r="M172" t="str">
        <f>TEXT(calls[[#This Row],[Date of Call]],"DDDD")</f>
        <v>Saturday</v>
      </c>
      <c r="N172" t="str" cm="1">
        <f t="array" ref="N1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72">
        <f>ROUND(calls[[#This Row],[Satisfaction Rating]],0)</f>
        <v>3</v>
      </c>
      <c r="P172" s="53">
        <f t="shared" si="2"/>
        <v>307</v>
      </c>
    </row>
    <row r="173" spans="2:16">
      <c r="B173" t="s">
        <v>253</v>
      </c>
      <c r="C173" t="s">
        <v>60</v>
      </c>
      <c r="D173" s="46" t="str" cm="1">
        <f t="array" ref="D173">_xlfn.XLOOKUP(C173,customers[Customer ID],customers[Gender],"")</f>
        <v>Male</v>
      </c>
      <c r="E173" s="46" cm="1">
        <f t="array" ref="E173">_xlfn.XLOOKUP(C173,customers[Customer ID],customers[Age],"")</f>
        <v>36</v>
      </c>
      <c r="F173" s="46" t="str" cm="1">
        <f t="array" ref="F173">_xlfn.XLOOKUP(C173,customers[Customer ID],customers[City],"")</f>
        <v>Cincinnati</v>
      </c>
      <c r="G173">
        <v>101</v>
      </c>
      <c r="H173" s="47" t="s">
        <v>38</v>
      </c>
      <c r="I173" s="48">
        <v>44989</v>
      </c>
      <c r="J173">
        <v>128</v>
      </c>
      <c r="K173">
        <v>5</v>
      </c>
      <c r="L173">
        <f>IF(MONTH(calls[[#This Row],[Date of Call]])&lt;=6,YEAR(calls[[#This Row],[Date of Call]]),YEAR(calls[[#This Row],[Date of Call]])+1)</f>
        <v>2023</v>
      </c>
      <c r="M173" t="str">
        <f>TEXT(calls[[#This Row],[Date of Call]],"DDDD")</f>
        <v>Saturday</v>
      </c>
      <c r="N173" t="str" cm="1">
        <f t="array" ref="N1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73">
        <f>ROUND(calls[[#This Row],[Satisfaction Rating]],0)</f>
        <v>5</v>
      </c>
      <c r="P173" s="53">
        <f t="shared" si="2"/>
        <v>307</v>
      </c>
    </row>
    <row r="174" spans="2:16">
      <c r="B174" t="s">
        <v>254</v>
      </c>
      <c r="C174" t="s">
        <v>70</v>
      </c>
      <c r="D174" s="46" t="str" cm="1">
        <f t="array" ref="D174">_xlfn.XLOOKUP(C174,customers[Customer ID],customers[Gender],"")</f>
        <v>Male</v>
      </c>
      <c r="E174" s="46" cm="1">
        <f t="array" ref="E174">_xlfn.XLOOKUP(C174,customers[Customer ID],customers[Age],"")</f>
        <v>37</v>
      </c>
      <c r="F174" s="46" t="str" cm="1">
        <f t="array" ref="F174">_xlfn.XLOOKUP(C174,customers[Customer ID],customers[City],"")</f>
        <v>Columbus</v>
      </c>
      <c r="G174">
        <v>75</v>
      </c>
      <c r="H174" s="47" t="s">
        <v>39</v>
      </c>
      <c r="I174" s="48">
        <v>44989</v>
      </c>
      <c r="J174">
        <v>40</v>
      </c>
      <c r="K174">
        <v>3.4</v>
      </c>
      <c r="L174">
        <f>IF(MONTH(calls[[#This Row],[Date of Call]])&lt;=6,YEAR(calls[[#This Row],[Date of Call]]),YEAR(calls[[#This Row],[Date of Call]])+1)</f>
        <v>2023</v>
      </c>
      <c r="M174" t="str">
        <f>TEXT(calls[[#This Row],[Date of Call]],"DDDD")</f>
        <v>Saturday</v>
      </c>
      <c r="N174" t="str" cm="1">
        <f t="array" ref="N1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74">
        <f>ROUND(calls[[#This Row],[Satisfaction Rating]],0)</f>
        <v>3</v>
      </c>
      <c r="P174" s="53">
        <f t="shared" si="2"/>
        <v>307</v>
      </c>
    </row>
    <row r="175" spans="2:16">
      <c r="B175" t="s">
        <v>255</v>
      </c>
      <c r="C175" t="s">
        <v>66</v>
      </c>
      <c r="D175" s="46" t="str" cm="1">
        <f t="array" ref="D175">_xlfn.XLOOKUP(C175,customers[Customer ID],customers[Gender],"")</f>
        <v>Female</v>
      </c>
      <c r="E175" s="46" cm="1">
        <f t="array" ref="E175">_xlfn.XLOOKUP(C175,customers[Customer ID],customers[Age],"")</f>
        <v>30</v>
      </c>
      <c r="F175" s="46" t="str" cm="1">
        <f t="array" ref="F175">_xlfn.XLOOKUP(C175,customers[Customer ID],customers[City],"")</f>
        <v>Cleveland</v>
      </c>
      <c r="G175">
        <v>40</v>
      </c>
      <c r="H175" s="47" t="s">
        <v>38</v>
      </c>
      <c r="I175" s="48">
        <v>44990</v>
      </c>
      <c r="J175">
        <v>92</v>
      </c>
      <c r="K175">
        <v>4.7</v>
      </c>
      <c r="L175">
        <f>IF(MONTH(calls[[#This Row],[Date of Call]])&lt;=6,YEAR(calls[[#This Row],[Date of Call]]),YEAR(calls[[#This Row],[Date of Call]])+1)</f>
        <v>2023</v>
      </c>
      <c r="M175" t="str">
        <f>TEXT(calls[[#This Row],[Date of Call]],"DDDD")</f>
        <v>Sunday</v>
      </c>
      <c r="N175" t="str" cm="1">
        <f t="array" ref="N17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75">
        <f>ROUND(calls[[#This Row],[Satisfaction Rating]],0)</f>
        <v>5</v>
      </c>
      <c r="P175" s="53">
        <f t="shared" si="2"/>
        <v>307</v>
      </c>
    </row>
    <row r="176" spans="2:16">
      <c r="B176" t="s">
        <v>256</v>
      </c>
      <c r="C176" t="s">
        <v>63</v>
      </c>
      <c r="D176" s="46" t="str" cm="1">
        <f t="array" ref="D176">_xlfn.XLOOKUP(C176,customers[Customer ID],customers[Gender],"")</f>
        <v>Male</v>
      </c>
      <c r="E176" s="46" cm="1">
        <f t="array" ref="E176">_xlfn.XLOOKUP(C176,customers[Customer ID],customers[Age],"")</f>
        <v>31</v>
      </c>
      <c r="F176" s="46" t="str" cm="1">
        <f t="array" ref="F176">_xlfn.XLOOKUP(C176,customers[Customer ID],customers[City],"")</f>
        <v>Cleveland</v>
      </c>
      <c r="G176">
        <v>86</v>
      </c>
      <c r="H176" s="47" t="s">
        <v>37</v>
      </c>
      <c r="I176" s="48">
        <v>44990</v>
      </c>
      <c r="J176">
        <v>27</v>
      </c>
      <c r="K176">
        <v>4.5</v>
      </c>
      <c r="L176">
        <f>IF(MONTH(calls[[#This Row],[Date of Call]])&lt;=6,YEAR(calls[[#This Row],[Date of Call]]),YEAR(calls[[#This Row],[Date of Call]])+1)</f>
        <v>2023</v>
      </c>
      <c r="M176" t="str">
        <f>TEXT(calls[[#This Row],[Date of Call]],"DDDD")</f>
        <v>Sunday</v>
      </c>
      <c r="N176" t="str" cm="1">
        <f t="array" ref="N17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76">
        <f>ROUND(calls[[#This Row],[Satisfaction Rating]],0)</f>
        <v>5</v>
      </c>
      <c r="P176" s="53">
        <f t="shared" si="2"/>
        <v>307</v>
      </c>
    </row>
    <row r="177" spans="2:16">
      <c r="B177" t="s">
        <v>257</v>
      </c>
      <c r="C177" t="s">
        <v>64</v>
      </c>
      <c r="D177" s="46" t="str" cm="1">
        <f t="array" ref="D177">_xlfn.XLOOKUP(C177,customers[Customer ID],customers[Gender],"")</f>
        <v>Female</v>
      </c>
      <c r="E177" s="46" cm="1">
        <f t="array" ref="E177">_xlfn.XLOOKUP(C177,customers[Customer ID],customers[Age],"")</f>
        <v>22</v>
      </c>
      <c r="F177" s="46" t="str" cm="1">
        <f t="array" ref="F177">_xlfn.XLOOKUP(C177,customers[Customer ID],customers[City],"")</f>
        <v>Cleveland</v>
      </c>
      <c r="G177">
        <v>131</v>
      </c>
      <c r="H177" s="47" t="s">
        <v>40</v>
      </c>
      <c r="I177" s="48">
        <v>44990</v>
      </c>
      <c r="J177">
        <v>140</v>
      </c>
      <c r="K177">
        <v>4.1</v>
      </c>
      <c r="L177">
        <f>IF(MONTH(calls[[#This Row],[Date of Call]])&lt;=6,YEAR(calls[[#This Row],[Date of Call]]),YEAR(calls[[#This Row],[Date of Call]])+1)</f>
        <v>2023</v>
      </c>
      <c r="M177" t="str">
        <f>TEXT(calls[[#This Row],[Date of Call]],"DDDD")</f>
        <v>Sunday</v>
      </c>
      <c r="N177" t="str" cm="1">
        <f t="array" ref="N17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77">
        <f>ROUND(calls[[#This Row],[Satisfaction Rating]],0)</f>
        <v>4</v>
      </c>
      <c r="P177" s="53">
        <f t="shared" si="2"/>
        <v>307</v>
      </c>
    </row>
    <row r="178" spans="2:16">
      <c r="B178" t="s">
        <v>258</v>
      </c>
      <c r="C178" t="s">
        <v>62</v>
      </c>
      <c r="D178" s="46" t="str" cm="1">
        <f t="array" ref="D178">_xlfn.XLOOKUP(C178,customers[Customer ID],customers[Gender],"")</f>
        <v>Female</v>
      </c>
      <c r="E178" s="46" cm="1">
        <f t="array" ref="E178">_xlfn.XLOOKUP(C178,customers[Customer ID],customers[Age],"")</f>
        <v>28</v>
      </c>
      <c r="F178" s="46" t="str" cm="1">
        <f t="array" ref="F178">_xlfn.XLOOKUP(C178,customers[Customer ID],customers[City],"")</f>
        <v>Cincinnati</v>
      </c>
      <c r="G178">
        <v>67</v>
      </c>
      <c r="H178" s="47" t="s">
        <v>36</v>
      </c>
      <c r="I178" s="48">
        <v>44990</v>
      </c>
      <c r="J178">
        <v>40</v>
      </c>
      <c r="K178">
        <v>5</v>
      </c>
      <c r="L178">
        <f>IF(MONTH(calls[[#This Row],[Date of Call]])&lt;=6,YEAR(calls[[#This Row],[Date of Call]]),YEAR(calls[[#This Row],[Date of Call]])+1)</f>
        <v>2023</v>
      </c>
      <c r="M178" t="str">
        <f>TEXT(calls[[#This Row],[Date of Call]],"DDDD")</f>
        <v>Sunday</v>
      </c>
      <c r="N178" t="str" cm="1">
        <f t="array" ref="N17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78">
        <f>ROUND(calls[[#This Row],[Satisfaction Rating]],0)</f>
        <v>5</v>
      </c>
      <c r="P178" s="53">
        <f t="shared" si="2"/>
        <v>307</v>
      </c>
    </row>
    <row r="179" spans="2:16">
      <c r="B179" t="s">
        <v>259</v>
      </c>
      <c r="C179" t="s">
        <v>65</v>
      </c>
      <c r="D179" s="46" t="str" cm="1">
        <f t="array" ref="D179">_xlfn.XLOOKUP(C179,customers[Customer ID],customers[Gender],"")</f>
        <v>Female</v>
      </c>
      <c r="E179" s="46" cm="1">
        <f t="array" ref="E179">_xlfn.XLOOKUP(C179,customers[Customer ID],customers[Age],"")</f>
        <v>42</v>
      </c>
      <c r="F179" s="46" t="str" cm="1">
        <f t="array" ref="F179">_xlfn.XLOOKUP(C179,customers[Customer ID],customers[City],"")</f>
        <v>Cleveland</v>
      </c>
      <c r="G179">
        <v>71</v>
      </c>
      <c r="H179" s="47" t="s">
        <v>38</v>
      </c>
      <c r="I179" s="48">
        <v>44990</v>
      </c>
      <c r="J179">
        <v>102</v>
      </c>
      <c r="K179">
        <v>4.7</v>
      </c>
      <c r="L179">
        <f>IF(MONTH(calls[[#This Row],[Date of Call]])&lt;=6,YEAR(calls[[#This Row],[Date of Call]]),YEAR(calls[[#This Row],[Date of Call]])+1)</f>
        <v>2023</v>
      </c>
      <c r="M179" t="str">
        <f>TEXT(calls[[#This Row],[Date of Call]],"DDDD")</f>
        <v>Sunday</v>
      </c>
      <c r="N179" t="str" cm="1">
        <f t="array" ref="N17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79">
        <f>ROUND(calls[[#This Row],[Satisfaction Rating]],0)</f>
        <v>5</v>
      </c>
      <c r="P179" s="53">
        <f t="shared" si="2"/>
        <v>307</v>
      </c>
    </row>
    <row r="180" spans="2:16">
      <c r="B180" t="s">
        <v>260</v>
      </c>
      <c r="C180" t="s">
        <v>64</v>
      </c>
      <c r="D180" s="46" t="str" cm="1">
        <f t="array" ref="D180">_xlfn.XLOOKUP(C180,customers[Customer ID],customers[Gender],"")</f>
        <v>Female</v>
      </c>
      <c r="E180" s="46" cm="1">
        <f t="array" ref="E180">_xlfn.XLOOKUP(C180,customers[Customer ID],customers[Age],"")</f>
        <v>22</v>
      </c>
      <c r="F180" s="46" t="str" cm="1">
        <f t="array" ref="F180">_xlfn.XLOOKUP(C180,customers[Customer ID],customers[City],"")</f>
        <v>Cleveland</v>
      </c>
      <c r="G180">
        <v>113</v>
      </c>
      <c r="H180" s="47" t="s">
        <v>40</v>
      </c>
      <c r="I180" s="48">
        <v>44990</v>
      </c>
      <c r="J180">
        <v>42</v>
      </c>
      <c r="K180">
        <v>4.2</v>
      </c>
      <c r="L180">
        <f>IF(MONTH(calls[[#This Row],[Date of Call]])&lt;=6,YEAR(calls[[#This Row],[Date of Call]]),YEAR(calls[[#This Row],[Date of Call]])+1)</f>
        <v>2023</v>
      </c>
      <c r="M180" t="str">
        <f>TEXT(calls[[#This Row],[Date of Call]],"DDDD")</f>
        <v>Sunday</v>
      </c>
      <c r="N180" t="str" cm="1">
        <f t="array" ref="N1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80">
        <f>ROUND(calls[[#This Row],[Satisfaction Rating]],0)</f>
        <v>4</v>
      </c>
      <c r="P180" s="53">
        <f t="shared" si="2"/>
        <v>307</v>
      </c>
    </row>
    <row r="181" spans="2:16">
      <c r="B181" t="s">
        <v>261</v>
      </c>
      <c r="C181" t="s">
        <v>71</v>
      </c>
      <c r="D181" s="46" t="str" cm="1">
        <f t="array" ref="D181">_xlfn.XLOOKUP(C181,customers[Customer ID],customers[Gender],"")</f>
        <v>Male</v>
      </c>
      <c r="E181" s="46" cm="1">
        <f t="array" ref="E181">_xlfn.XLOOKUP(C181,customers[Customer ID],customers[Age],"")</f>
        <v>23</v>
      </c>
      <c r="F181" s="46" t="str" cm="1">
        <f t="array" ref="F181">_xlfn.XLOOKUP(C181,customers[Customer ID],customers[City],"")</f>
        <v>Columbus</v>
      </c>
      <c r="G181">
        <v>53</v>
      </c>
      <c r="H181" s="47" t="s">
        <v>37</v>
      </c>
      <c r="I181" s="48">
        <v>44991</v>
      </c>
      <c r="J181">
        <v>210</v>
      </c>
      <c r="K181">
        <v>3.9</v>
      </c>
      <c r="L181">
        <f>IF(MONTH(calls[[#This Row],[Date of Call]])&lt;=6,YEAR(calls[[#This Row],[Date of Call]]),YEAR(calls[[#This Row],[Date of Call]])+1)</f>
        <v>2023</v>
      </c>
      <c r="M181" t="str">
        <f>TEXT(calls[[#This Row],[Date of Call]],"DDDD")</f>
        <v>Monday</v>
      </c>
      <c r="N181" t="str" cm="1">
        <f t="array" ref="N18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81">
        <f>ROUND(calls[[#This Row],[Satisfaction Rating]],0)</f>
        <v>4</v>
      </c>
      <c r="P181" s="53">
        <f t="shared" si="2"/>
        <v>307</v>
      </c>
    </row>
    <row r="182" spans="2:16">
      <c r="B182" t="s">
        <v>262</v>
      </c>
      <c r="C182" t="s">
        <v>64</v>
      </c>
      <c r="D182" s="46" t="str" cm="1">
        <f t="array" ref="D182">_xlfn.XLOOKUP(C182,customers[Customer ID],customers[Gender],"")</f>
        <v>Female</v>
      </c>
      <c r="E182" s="46" cm="1">
        <f t="array" ref="E182">_xlfn.XLOOKUP(C182,customers[Customer ID],customers[Age],"")</f>
        <v>22</v>
      </c>
      <c r="F182" s="46" t="str" cm="1">
        <f t="array" ref="F182">_xlfn.XLOOKUP(C182,customers[Customer ID],customers[City],"")</f>
        <v>Cleveland</v>
      </c>
      <c r="G182">
        <v>153</v>
      </c>
      <c r="H182" s="47" t="s">
        <v>36</v>
      </c>
      <c r="I182" s="48">
        <v>44991</v>
      </c>
      <c r="J182">
        <v>34</v>
      </c>
      <c r="K182">
        <v>3</v>
      </c>
      <c r="L182">
        <f>IF(MONTH(calls[[#This Row],[Date of Call]])&lt;=6,YEAR(calls[[#This Row],[Date of Call]]),YEAR(calls[[#This Row],[Date of Call]])+1)</f>
        <v>2023</v>
      </c>
      <c r="M182" t="str">
        <f>TEXT(calls[[#This Row],[Date of Call]],"DDDD")</f>
        <v>Monday</v>
      </c>
      <c r="N182" t="str" cm="1">
        <f t="array" ref="N18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82">
        <f>ROUND(calls[[#This Row],[Satisfaction Rating]],0)</f>
        <v>3</v>
      </c>
      <c r="P182" s="53">
        <f t="shared" si="2"/>
        <v>307</v>
      </c>
    </row>
    <row r="183" spans="2:16">
      <c r="B183" t="s">
        <v>263</v>
      </c>
      <c r="C183" t="s">
        <v>62</v>
      </c>
      <c r="D183" s="46" t="str" cm="1">
        <f t="array" ref="D183">_xlfn.XLOOKUP(C183,customers[Customer ID],customers[Gender],"")</f>
        <v>Female</v>
      </c>
      <c r="E183" s="46" cm="1">
        <f t="array" ref="E183">_xlfn.XLOOKUP(C183,customers[Customer ID],customers[Age],"")</f>
        <v>28</v>
      </c>
      <c r="F183" s="46" t="str" cm="1">
        <f t="array" ref="F183">_xlfn.XLOOKUP(C183,customers[Customer ID],customers[City],"")</f>
        <v>Cincinnati</v>
      </c>
      <c r="G183">
        <v>73</v>
      </c>
      <c r="H183" s="47" t="s">
        <v>39</v>
      </c>
      <c r="I183" s="48">
        <v>44991</v>
      </c>
      <c r="J183">
        <v>215</v>
      </c>
      <c r="K183">
        <v>3.6</v>
      </c>
      <c r="L183">
        <f>IF(MONTH(calls[[#This Row],[Date of Call]])&lt;=6,YEAR(calls[[#This Row],[Date of Call]]),YEAR(calls[[#This Row],[Date of Call]])+1)</f>
        <v>2023</v>
      </c>
      <c r="M183" t="str">
        <f>TEXT(calls[[#This Row],[Date of Call]],"DDDD")</f>
        <v>Monday</v>
      </c>
      <c r="N183" t="str" cm="1">
        <f t="array" ref="N1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83">
        <f>ROUND(calls[[#This Row],[Satisfaction Rating]],0)</f>
        <v>4</v>
      </c>
      <c r="P183" s="53">
        <f t="shared" si="2"/>
        <v>307</v>
      </c>
    </row>
    <row r="184" spans="2:16">
      <c r="B184" t="s">
        <v>264</v>
      </c>
      <c r="C184" t="s">
        <v>72</v>
      </c>
      <c r="D184" s="46" t="str" cm="1">
        <f t="array" ref="D184">_xlfn.XLOOKUP(C184,customers[Customer ID],customers[Gender],"")</f>
        <v>Female</v>
      </c>
      <c r="E184" s="46" cm="1">
        <f t="array" ref="E184">_xlfn.XLOOKUP(C184,customers[Customer ID],customers[Age],"")</f>
        <v>25</v>
      </c>
      <c r="F184" s="46" t="str" cm="1">
        <f t="array" ref="F184">_xlfn.XLOOKUP(C184,customers[Customer ID],customers[City],"")</f>
        <v>Columbus</v>
      </c>
      <c r="G184">
        <v>62</v>
      </c>
      <c r="H184" s="47" t="s">
        <v>39</v>
      </c>
      <c r="I184" s="48">
        <v>44991</v>
      </c>
      <c r="J184">
        <v>32</v>
      </c>
      <c r="K184">
        <v>0.7</v>
      </c>
      <c r="L184">
        <f>IF(MONTH(calls[[#This Row],[Date of Call]])&lt;=6,YEAR(calls[[#This Row],[Date of Call]]),YEAR(calls[[#This Row],[Date of Call]])+1)</f>
        <v>2023</v>
      </c>
      <c r="M184" t="str">
        <f>TEXT(calls[[#This Row],[Date of Call]],"DDDD")</f>
        <v>Monday</v>
      </c>
      <c r="N184" t="str" cm="1">
        <f t="array" ref="N1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84">
        <f>ROUND(calls[[#This Row],[Satisfaction Rating]],0)</f>
        <v>1</v>
      </c>
      <c r="P184" s="53">
        <f t="shared" si="2"/>
        <v>307</v>
      </c>
    </row>
    <row r="185" spans="2:16">
      <c r="B185" t="s">
        <v>265</v>
      </c>
      <c r="C185" t="s">
        <v>61</v>
      </c>
      <c r="D185" s="46" t="str" cm="1">
        <f t="array" ref="D185">_xlfn.XLOOKUP(C185,customers[Customer ID],customers[Gender],"")</f>
        <v>Female</v>
      </c>
      <c r="E185" s="46" cm="1">
        <f t="array" ref="E185">_xlfn.XLOOKUP(C185,customers[Customer ID],customers[Age],"")</f>
        <v>30</v>
      </c>
      <c r="F185" s="46" t="str" cm="1">
        <f t="array" ref="F185">_xlfn.XLOOKUP(C185,customers[Customer ID],customers[City],"")</f>
        <v>Cincinnati</v>
      </c>
      <c r="G185">
        <v>115</v>
      </c>
      <c r="H185" s="47" t="s">
        <v>37</v>
      </c>
      <c r="I185" s="48">
        <v>44992</v>
      </c>
      <c r="J185">
        <v>48</v>
      </c>
      <c r="K185">
        <v>4.7</v>
      </c>
      <c r="L185">
        <f>IF(MONTH(calls[[#This Row],[Date of Call]])&lt;=6,YEAR(calls[[#This Row],[Date of Call]]),YEAR(calls[[#This Row],[Date of Call]])+1)</f>
        <v>2023</v>
      </c>
      <c r="M185" t="str">
        <f>TEXT(calls[[#This Row],[Date of Call]],"DDDD")</f>
        <v>Tuesday</v>
      </c>
      <c r="N185" t="str" cm="1">
        <f t="array" ref="N1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85">
        <f>ROUND(calls[[#This Row],[Satisfaction Rating]],0)</f>
        <v>5</v>
      </c>
      <c r="P185" s="53">
        <f t="shared" si="2"/>
        <v>307</v>
      </c>
    </row>
    <row r="186" spans="2:16">
      <c r="B186" t="s">
        <v>266</v>
      </c>
      <c r="C186" t="s">
        <v>64</v>
      </c>
      <c r="D186" s="46" t="str" cm="1">
        <f t="array" ref="D186">_xlfn.XLOOKUP(C186,customers[Customer ID],customers[Gender],"")</f>
        <v>Female</v>
      </c>
      <c r="E186" s="46" cm="1">
        <f t="array" ref="E186">_xlfn.XLOOKUP(C186,customers[Customer ID],customers[Age],"")</f>
        <v>22</v>
      </c>
      <c r="F186" s="46" t="str" cm="1">
        <f t="array" ref="F186">_xlfn.XLOOKUP(C186,customers[Customer ID],customers[City],"")</f>
        <v>Cleveland</v>
      </c>
      <c r="G186">
        <v>69</v>
      </c>
      <c r="H186" s="47" t="s">
        <v>37</v>
      </c>
      <c r="I186" s="48">
        <v>44992</v>
      </c>
      <c r="J186">
        <v>132</v>
      </c>
      <c r="K186">
        <v>4.5</v>
      </c>
      <c r="L186">
        <f>IF(MONTH(calls[[#This Row],[Date of Call]])&lt;=6,YEAR(calls[[#This Row],[Date of Call]]),YEAR(calls[[#This Row],[Date of Call]])+1)</f>
        <v>2023</v>
      </c>
      <c r="M186" t="str">
        <f>TEXT(calls[[#This Row],[Date of Call]],"DDDD")</f>
        <v>Tuesday</v>
      </c>
      <c r="N186" t="str" cm="1">
        <f t="array" ref="N18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86">
        <f>ROUND(calls[[#This Row],[Satisfaction Rating]],0)</f>
        <v>5</v>
      </c>
      <c r="P186" s="53">
        <f t="shared" si="2"/>
        <v>307</v>
      </c>
    </row>
    <row r="187" spans="2:16">
      <c r="B187" t="s">
        <v>267</v>
      </c>
      <c r="C187" t="s">
        <v>63</v>
      </c>
      <c r="D187" s="46" t="str" cm="1">
        <f t="array" ref="D187">_xlfn.XLOOKUP(C187,customers[Customer ID],customers[Gender],"")</f>
        <v>Male</v>
      </c>
      <c r="E187" s="46" cm="1">
        <f t="array" ref="E187">_xlfn.XLOOKUP(C187,customers[Customer ID],customers[Age],"")</f>
        <v>31</v>
      </c>
      <c r="F187" s="46" t="str" cm="1">
        <f t="array" ref="F187">_xlfn.XLOOKUP(C187,customers[Customer ID],customers[City],"")</f>
        <v>Cleveland</v>
      </c>
      <c r="G187">
        <v>103</v>
      </c>
      <c r="H187" s="47" t="s">
        <v>40</v>
      </c>
      <c r="I187" s="48">
        <v>44992</v>
      </c>
      <c r="J187">
        <v>172</v>
      </c>
      <c r="K187">
        <v>4.3</v>
      </c>
      <c r="L187">
        <f>IF(MONTH(calls[[#This Row],[Date of Call]])&lt;=6,YEAR(calls[[#This Row],[Date of Call]]),YEAR(calls[[#This Row],[Date of Call]])+1)</f>
        <v>2023</v>
      </c>
      <c r="M187" t="str">
        <f>TEXT(calls[[#This Row],[Date of Call]],"DDDD")</f>
        <v>Tuesday</v>
      </c>
      <c r="N187" t="str" cm="1">
        <f t="array" ref="N1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87">
        <f>ROUND(calls[[#This Row],[Satisfaction Rating]],0)</f>
        <v>4</v>
      </c>
      <c r="P187" s="53">
        <f t="shared" si="2"/>
        <v>307</v>
      </c>
    </row>
    <row r="188" spans="2:16">
      <c r="B188" t="s">
        <v>268</v>
      </c>
      <c r="C188" t="s">
        <v>63</v>
      </c>
      <c r="D188" s="46" t="str" cm="1">
        <f t="array" ref="D188">_xlfn.XLOOKUP(C188,customers[Customer ID],customers[Gender],"")</f>
        <v>Male</v>
      </c>
      <c r="E188" s="46" cm="1">
        <f t="array" ref="E188">_xlfn.XLOOKUP(C188,customers[Customer ID],customers[Age],"")</f>
        <v>31</v>
      </c>
      <c r="F188" s="46" t="str" cm="1">
        <f t="array" ref="F188">_xlfn.XLOOKUP(C188,customers[Customer ID],customers[City],"")</f>
        <v>Cleveland</v>
      </c>
      <c r="G188">
        <v>75</v>
      </c>
      <c r="H188" s="47" t="s">
        <v>40</v>
      </c>
      <c r="I188" s="48">
        <v>44992</v>
      </c>
      <c r="J188">
        <v>111</v>
      </c>
      <c r="K188">
        <v>3.4</v>
      </c>
      <c r="L188">
        <f>IF(MONTH(calls[[#This Row],[Date of Call]])&lt;=6,YEAR(calls[[#This Row],[Date of Call]]),YEAR(calls[[#This Row],[Date of Call]])+1)</f>
        <v>2023</v>
      </c>
      <c r="M188" t="str">
        <f>TEXT(calls[[#This Row],[Date of Call]],"DDDD")</f>
        <v>Tuesday</v>
      </c>
      <c r="N188" t="str" cm="1">
        <f t="array" ref="N18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88">
        <f>ROUND(calls[[#This Row],[Satisfaction Rating]],0)</f>
        <v>3</v>
      </c>
      <c r="P188" s="53">
        <f t="shared" si="2"/>
        <v>307</v>
      </c>
    </row>
    <row r="189" spans="2:16">
      <c r="B189" t="s">
        <v>269</v>
      </c>
      <c r="C189" t="s">
        <v>67</v>
      </c>
      <c r="D189" s="46" t="str" cm="1">
        <f t="array" ref="D189">_xlfn.XLOOKUP(C189,customers[Customer ID],customers[Gender],"")</f>
        <v>Female</v>
      </c>
      <c r="E189" s="46" cm="1">
        <f t="array" ref="E189">_xlfn.XLOOKUP(C189,customers[Customer ID],customers[Age],"")</f>
        <v>37</v>
      </c>
      <c r="F189" s="46" t="str" cm="1">
        <f t="array" ref="F189">_xlfn.XLOOKUP(C189,customers[Customer ID],customers[City],"")</f>
        <v>Cleveland</v>
      </c>
      <c r="G189">
        <v>92</v>
      </c>
      <c r="H189" s="47" t="s">
        <v>40</v>
      </c>
      <c r="I189" s="48">
        <v>44992</v>
      </c>
      <c r="J189">
        <v>58</v>
      </c>
      <c r="K189">
        <v>3.6</v>
      </c>
      <c r="L189">
        <f>IF(MONTH(calls[[#This Row],[Date of Call]])&lt;=6,YEAR(calls[[#This Row],[Date of Call]]),YEAR(calls[[#This Row],[Date of Call]])+1)</f>
        <v>2023</v>
      </c>
      <c r="M189" t="str">
        <f>TEXT(calls[[#This Row],[Date of Call]],"DDDD")</f>
        <v>Tuesday</v>
      </c>
      <c r="N189" t="str" cm="1">
        <f t="array" ref="N1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89">
        <f>ROUND(calls[[#This Row],[Satisfaction Rating]],0)</f>
        <v>4</v>
      </c>
      <c r="P189" s="53">
        <f t="shared" si="2"/>
        <v>307</v>
      </c>
    </row>
    <row r="190" spans="2:16">
      <c r="B190" t="s">
        <v>270</v>
      </c>
      <c r="C190" t="s">
        <v>67</v>
      </c>
      <c r="D190" s="46" t="str" cm="1">
        <f t="array" ref="D190">_xlfn.XLOOKUP(C190,customers[Customer ID],customers[Gender],"")</f>
        <v>Female</v>
      </c>
      <c r="E190" s="46" cm="1">
        <f t="array" ref="E190">_xlfn.XLOOKUP(C190,customers[Customer ID],customers[Age],"")</f>
        <v>37</v>
      </c>
      <c r="F190" s="46" t="str" cm="1">
        <f t="array" ref="F190">_xlfn.XLOOKUP(C190,customers[Customer ID],customers[City],"")</f>
        <v>Cleveland</v>
      </c>
      <c r="G190">
        <v>41</v>
      </c>
      <c r="H190" s="47" t="s">
        <v>39</v>
      </c>
      <c r="I190" s="48">
        <v>44992</v>
      </c>
      <c r="J190">
        <v>68</v>
      </c>
      <c r="K190">
        <v>4</v>
      </c>
      <c r="L190">
        <f>IF(MONTH(calls[[#This Row],[Date of Call]])&lt;=6,YEAR(calls[[#This Row],[Date of Call]]),YEAR(calls[[#This Row],[Date of Call]])+1)</f>
        <v>2023</v>
      </c>
      <c r="M190" t="str">
        <f>TEXT(calls[[#This Row],[Date of Call]],"DDDD")</f>
        <v>Tuesday</v>
      </c>
      <c r="N190" t="str" cm="1">
        <f t="array" ref="N19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190">
        <f>ROUND(calls[[#This Row],[Satisfaction Rating]],0)</f>
        <v>4</v>
      </c>
      <c r="P190" s="53">
        <f t="shared" si="2"/>
        <v>307</v>
      </c>
    </row>
    <row r="191" spans="2:16">
      <c r="B191" t="s">
        <v>271</v>
      </c>
      <c r="C191" t="s">
        <v>63</v>
      </c>
      <c r="D191" s="46" t="str" cm="1">
        <f t="array" ref="D191">_xlfn.XLOOKUP(C191,customers[Customer ID],customers[Gender],"")</f>
        <v>Male</v>
      </c>
      <c r="E191" s="46" cm="1">
        <f t="array" ref="E191">_xlfn.XLOOKUP(C191,customers[Customer ID],customers[Age],"")</f>
        <v>31</v>
      </c>
      <c r="F191" s="46" t="str" cm="1">
        <f t="array" ref="F191">_xlfn.XLOOKUP(C191,customers[Customer ID],customers[City],"")</f>
        <v>Cleveland</v>
      </c>
      <c r="G191">
        <v>134</v>
      </c>
      <c r="H191" s="47" t="s">
        <v>36</v>
      </c>
      <c r="I191" s="48">
        <v>44992</v>
      </c>
      <c r="J191">
        <v>160</v>
      </c>
      <c r="K191">
        <v>4.5</v>
      </c>
      <c r="L191">
        <f>IF(MONTH(calls[[#This Row],[Date of Call]])&lt;=6,YEAR(calls[[#This Row],[Date of Call]]),YEAR(calls[[#This Row],[Date of Call]])+1)</f>
        <v>2023</v>
      </c>
      <c r="M191" t="str">
        <f>TEXT(calls[[#This Row],[Date of Call]],"DDDD")</f>
        <v>Tuesday</v>
      </c>
      <c r="N191" t="str" cm="1">
        <f t="array" ref="N19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91">
        <f>ROUND(calls[[#This Row],[Satisfaction Rating]],0)</f>
        <v>5</v>
      </c>
      <c r="P191" s="53">
        <f t="shared" si="2"/>
        <v>307</v>
      </c>
    </row>
    <row r="192" spans="2:16">
      <c r="B192" t="s">
        <v>272</v>
      </c>
      <c r="C192" t="s">
        <v>69</v>
      </c>
      <c r="D192" s="46" t="str" cm="1">
        <f t="array" ref="D192">_xlfn.XLOOKUP(C192,customers[Customer ID],customers[Gender],"")</f>
        <v>Male</v>
      </c>
      <c r="E192" s="46" cm="1">
        <f t="array" ref="E192">_xlfn.XLOOKUP(C192,customers[Customer ID],customers[Age],"")</f>
        <v>41</v>
      </c>
      <c r="F192" s="46" t="str" cm="1">
        <f t="array" ref="F192">_xlfn.XLOOKUP(C192,customers[Customer ID],customers[City],"")</f>
        <v>Columbus</v>
      </c>
      <c r="G192">
        <v>80</v>
      </c>
      <c r="H192" s="47" t="s">
        <v>38</v>
      </c>
      <c r="I192" s="48">
        <v>44992</v>
      </c>
      <c r="J192">
        <v>45</v>
      </c>
      <c r="K192">
        <v>3</v>
      </c>
      <c r="L192">
        <f>IF(MONTH(calls[[#This Row],[Date of Call]])&lt;=6,YEAR(calls[[#This Row],[Date of Call]]),YEAR(calls[[#This Row],[Date of Call]])+1)</f>
        <v>2023</v>
      </c>
      <c r="M192" t="str">
        <f>TEXT(calls[[#This Row],[Date of Call]],"DDDD")</f>
        <v>Tuesday</v>
      </c>
      <c r="N192" t="str" cm="1">
        <f t="array" ref="N19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92">
        <f>ROUND(calls[[#This Row],[Satisfaction Rating]],0)</f>
        <v>3</v>
      </c>
      <c r="P192" s="53">
        <f t="shared" si="2"/>
        <v>307</v>
      </c>
    </row>
    <row r="193" spans="2:16">
      <c r="B193" t="s">
        <v>273</v>
      </c>
      <c r="C193" t="s">
        <v>65</v>
      </c>
      <c r="D193" s="46" t="str" cm="1">
        <f t="array" ref="D193">_xlfn.XLOOKUP(C193,customers[Customer ID],customers[Gender],"")</f>
        <v>Female</v>
      </c>
      <c r="E193" s="46" cm="1">
        <f t="array" ref="E193">_xlfn.XLOOKUP(C193,customers[Customer ID],customers[Age],"")</f>
        <v>42</v>
      </c>
      <c r="F193" s="46" t="str" cm="1">
        <f t="array" ref="F193">_xlfn.XLOOKUP(C193,customers[Customer ID],customers[City],"")</f>
        <v>Cleveland</v>
      </c>
      <c r="G193">
        <v>103</v>
      </c>
      <c r="H193" s="47" t="s">
        <v>37</v>
      </c>
      <c r="I193" s="48">
        <v>44993</v>
      </c>
      <c r="J193">
        <v>117</v>
      </c>
      <c r="K193">
        <v>3</v>
      </c>
      <c r="L193">
        <f>IF(MONTH(calls[[#This Row],[Date of Call]])&lt;=6,YEAR(calls[[#This Row],[Date of Call]]),YEAR(calls[[#This Row],[Date of Call]])+1)</f>
        <v>2023</v>
      </c>
      <c r="M193" t="str">
        <f>TEXT(calls[[#This Row],[Date of Call]],"DDDD")</f>
        <v>Wednesday</v>
      </c>
      <c r="N193" t="str" cm="1">
        <f t="array" ref="N1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93">
        <f>ROUND(calls[[#This Row],[Satisfaction Rating]],0)</f>
        <v>3</v>
      </c>
      <c r="P193" s="53">
        <f t="shared" si="2"/>
        <v>307</v>
      </c>
    </row>
    <row r="194" spans="2:16">
      <c r="B194" t="s">
        <v>274</v>
      </c>
      <c r="C194" t="s">
        <v>71</v>
      </c>
      <c r="D194" s="46" t="str" cm="1">
        <f t="array" ref="D194">_xlfn.XLOOKUP(C194,customers[Customer ID],customers[Gender],"")</f>
        <v>Male</v>
      </c>
      <c r="E194" s="46" cm="1">
        <f t="array" ref="E194">_xlfn.XLOOKUP(C194,customers[Customer ID],customers[Age],"")</f>
        <v>23</v>
      </c>
      <c r="F194" s="46" t="str" cm="1">
        <f t="array" ref="F194">_xlfn.XLOOKUP(C194,customers[Customer ID],customers[City],"")</f>
        <v>Columbus</v>
      </c>
      <c r="G194">
        <v>20</v>
      </c>
      <c r="H194" s="47" t="s">
        <v>40</v>
      </c>
      <c r="I194" s="48">
        <v>44994</v>
      </c>
      <c r="J194">
        <v>22</v>
      </c>
      <c r="K194">
        <v>1.6</v>
      </c>
      <c r="L194">
        <f>IF(MONTH(calls[[#This Row],[Date of Call]])&lt;=6,YEAR(calls[[#This Row],[Date of Call]]),YEAR(calls[[#This Row],[Date of Call]])+1)</f>
        <v>2023</v>
      </c>
      <c r="M194" t="str">
        <f>TEXT(calls[[#This Row],[Date of Call]],"DDDD")</f>
        <v>Thursday</v>
      </c>
      <c r="N194" t="str" cm="1">
        <f t="array" ref="N194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194">
        <f>ROUND(calls[[#This Row],[Satisfaction Rating]],0)</f>
        <v>2</v>
      </c>
      <c r="P194" s="53">
        <f t="shared" si="2"/>
        <v>307</v>
      </c>
    </row>
    <row r="195" spans="2:16">
      <c r="B195" t="s">
        <v>275</v>
      </c>
      <c r="C195" t="s">
        <v>65</v>
      </c>
      <c r="D195" s="46" t="str" cm="1">
        <f t="array" ref="D195">_xlfn.XLOOKUP(C195,customers[Customer ID],customers[Gender],"")</f>
        <v>Female</v>
      </c>
      <c r="E195" s="46" cm="1">
        <f t="array" ref="E195">_xlfn.XLOOKUP(C195,customers[Customer ID],customers[Age],"")</f>
        <v>42</v>
      </c>
      <c r="F195" s="46" t="str" cm="1">
        <f t="array" ref="F195">_xlfn.XLOOKUP(C195,customers[Customer ID],customers[City],"")</f>
        <v>Cleveland</v>
      </c>
      <c r="G195">
        <v>75</v>
      </c>
      <c r="H195" s="47" t="s">
        <v>38</v>
      </c>
      <c r="I195" s="48">
        <v>44994</v>
      </c>
      <c r="J195">
        <v>195</v>
      </c>
      <c r="K195">
        <v>3</v>
      </c>
      <c r="L195">
        <f>IF(MONTH(calls[[#This Row],[Date of Call]])&lt;=6,YEAR(calls[[#This Row],[Date of Call]]),YEAR(calls[[#This Row],[Date of Call]])+1)</f>
        <v>2023</v>
      </c>
      <c r="M195" t="str">
        <f>TEXT(calls[[#This Row],[Date of Call]],"DDDD")</f>
        <v>Thursday</v>
      </c>
      <c r="N195" t="str" cm="1">
        <f t="array" ref="N19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95">
        <f>ROUND(calls[[#This Row],[Satisfaction Rating]],0)</f>
        <v>3</v>
      </c>
      <c r="P195" s="53">
        <f t="shared" si="2"/>
        <v>307</v>
      </c>
    </row>
    <row r="196" spans="2:16">
      <c r="B196" t="s">
        <v>276</v>
      </c>
      <c r="C196" t="s">
        <v>67</v>
      </c>
      <c r="D196" s="46" t="str" cm="1">
        <f t="array" ref="D196">_xlfn.XLOOKUP(C196,customers[Customer ID],customers[Gender],"")</f>
        <v>Female</v>
      </c>
      <c r="E196" s="46" cm="1">
        <f t="array" ref="E196">_xlfn.XLOOKUP(C196,customers[Customer ID],customers[Age],"")</f>
        <v>37</v>
      </c>
      <c r="F196" s="46" t="str" cm="1">
        <f t="array" ref="F196">_xlfn.XLOOKUP(C196,customers[Customer ID],customers[City],"")</f>
        <v>Cleveland</v>
      </c>
      <c r="G196">
        <v>80</v>
      </c>
      <c r="H196" s="47" t="s">
        <v>36</v>
      </c>
      <c r="I196" s="48">
        <v>44994</v>
      </c>
      <c r="J196">
        <v>168</v>
      </c>
      <c r="K196">
        <v>3.7</v>
      </c>
      <c r="L196">
        <f>IF(MONTH(calls[[#This Row],[Date of Call]])&lt;=6,YEAR(calls[[#This Row],[Date of Call]]),YEAR(calls[[#This Row],[Date of Call]])+1)</f>
        <v>2023</v>
      </c>
      <c r="M196" t="str">
        <f>TEXT(calls[[#This Row],[Date of Call]],"DDDD")</f>
        <v>Thursday</v>
      </c>
      <c r="N196" t="str" cm="1">
        <f t="array" ref="N19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96">
        <f>ROUND(calls[[#This Row],[Satisfaction Rating]],0)</f>
        <v>4</v>
      </c>
      <c r="P196" s="53">
        <f t="shared" ref="P196:P259" si="3">COUNTIF(O:O,5)</f>
        <v>307</v>
      </c>
    </row>
    <row r="197" spans="2:16">
      <c r="B197" t="s">
        <v>277</v>
      </c>
      <c r="C197" t="s">
        <v>64</v>
      </c>
      <c r="D197" s="46" t="str" cm="1">
        <f t="array" ref="D197">_xlfn.XLOOKUP(C197,customers[Customer ID],customers[Gender],"")</f>
        <v>Female</v>
      </c>
      <c r="E197" s="46" cm="1">
        <f t="array" ref="E197">_xlfn.XLOOKUP(C197,customers[Customer ID],customers[Age],"")</f>
        <v>22</v>
      </c>
      <c r="F197" s="46" t="str" cm="1">
        <f t="array" ref="F197">_xlfn.XLOOKUP(C197,customers[Customer ID],customers[City],"")</f>
        <v>Cleveland</v>
      </c>
      <c r="G197">
        <v>85</v>
      </c>
      <c r="H197" s="47" t="s">
        <v>39</v>
      </c>
      <c r="I197" s="48">
        <v>44995</v>
      </c>
      <c r="J197">
        <v>46</v>
      </c>
      <c r="K197">
        <v>4.9</v>
      </c>
      <c r="L197">
        <f>IF(MONTH(calls[[#This Row],[Date of Call]])&lt;=6,YEAR(calls[[#This Row],[Date of Call]]),YEAR(calls[[#This Row],[Date of Call]])+1)</f>
        <v>2023</v>
      </c>
      <c r="M197" t="str">
        <f>TEXT(calls[[#This Row],[Date of Call]],"DDDD")</f>
        <v>Friday</v>
      </c>
      <c r="N197" t="str" cm="1">
        <f t="array" ref="N19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97">
        <f>ROUND(calls[[#This Row],[Satisfaction Rating]],0)</f>
        <v>5</v>
      </c>
      <c r="P197" s="53">
        <f t="shared" si="3"/>
        <v>307</v>
      </c>
    </row>
    <row r="198" spans="2:16">
      <c r="B198" t="s">
        <v>278</v>
      </c>
      <c r="C198" t="s">
        <v>60</v>
      </c>
      <c r="D198" s="46" t="str" cm="1">
        <f t="array" ref="D198">_xlfn.XLOOKUP(C198,customers[Customer ID],customers[Gender],"")</f>
        <v>Male</v>
      </c>
      <c r="E198" s="46" cm="1">
        <f t="array" ref="E198">_xlfn.XLOOKUP(C198,customers[Customer ID],customers[Age],"")</f>
        <v>36</v>
      </c>
      <c r="F198" s="46" t="str" cm="1">
        <f t="array" ref="F198">_xlfn.XLOOKUP(C198,customers[Customer ID],customers[City],"")</f>
        <v>Cincinnati</v>
      </c>
      <c r="G198">
        <v>155</v>
      </c>
      <c r="H198" s="47" t="s">
        <v>40</v>
      </c>
      <c r="I198" s="48">
        <v>44995</v>
      </c>
      <c r="J198">
        <v>164</v>
      </c>
      <c r="K198">
        <v>3.4</v>
      </c>
      <c r="L198">
        <f>IF(MONTH(calls[[#This Row],[Date of Call]])&lt;=6,YEAR(calls[[#This Row],[Date of Call]]),YEAR(calls[[#This Row],[Date of Call]])+1)</f>
        <v>2023</v>
      </c>
      <c r="M198" t="str">
        <f>TEXT(calls[[#This Row],[Date of Call]],"DDDD")</f>
        <v>Friday</v>
      </c>
      <c r="N198" t="str" cm="1">
        <f t="array" ref="N19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98">
        <f>ROUND(calls[[#This Row],[Satisfaction Rating]],0)</f>
        <v>3</v>
      </c>
      <c r="P198" s="53">
        <f t="shared" si="3"/>
        <v>307</v>
      </c>
    </row>
    <row r="199" spans="2:16">
      <c r="B199" t="s">
        <v>279</v>
      </c>
      <c r="C199" t="s">
        <v>64</v>
      </c>
      <c r="D199" s="46" t="str" cm="1">
        <f t="array" ref="D199">_xlfn.XLOOKUP(C199,customers[Customer ID],customers[Gender],"")</f>
        <v>Female</v>
      </c>
      <c r="E199" s="46" cm="1">
        <f t="array" ref="E199">_xlfn.XLOOKUP(C199,customers[Customer ID],customers[Age],"")</f>
        <v>22</v>
      </c>
      <c r="F199" s="46" t="str" cm="1">
        <f t="array" ref="F199">_xlfn.XLOOKUP(C199,customers[Customer ID],customers[City],"")</f>
        <v>Cleveland</v>
      </c>
      <c r="G199">
        <v>63</v>
      </c>
      <c r="H199" s="47" t="s">
        <v>39</v>
      </c>
      <c r="I199" s="48">
        <v>44995</v>
      </c>
      <c r="J199">
        <v>48</v>
      </c>
      <c r="K199">
        <v>5</v>
      </c>
      <c r="L199">
        <f>IF(MONTH(calls[[#This Row],[Date of Call]])&lt;=6,YEAR(calls[[#This Row],[Date of Call]]),YEAR(calls[[#This Row],[Date of Call]])+1)</f>
        <v>2023</v>
      </c>
      <c r="M199" t="str">
        <f>TEXT(calls[[#This Row],[Date of Call]],"DDDD")</f>
        <v>Friday</v>
      </c>
      <c r="N199" t="str" cm="1">
        <f t="array" ref="N19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99">
        <f>ROUND(calls[[#This Row],[Satisfaction Rating]],0)</f>
        <v>5</v>
      </c>
      <c r="P199" s="53">
        <f t="shared" si="3"/>
        <v>307</v>
      </c>
    </row>
    <row r="200" spans="2:16">
      <c r="B200" t="s">
        <v>280</v>
      </c>
      <c r="C200" t="s">
        <v>70</v>
      </c>
      <c r="D200" s="46" t="str" cm="1">
        <f t="array" ref="D200">_xlfn.XLOOKUP(C200,customers[Customer ID],customers[Gender],"")</f>
        <v>Male</v>
      </c>
      <c r="E200" s="46" cm="1">
        <f t="array" ref="E200">_xlfn.XLOOKUP(C200,customers[Customer ID],customers[Age],"")</f>
        <v>37</v>
      </c>
      <c r="F200" s="46" t="str" cm="1">
        <f t="array" ref="F200">_xlfn.XLOOKUP(C200,customers[Customer ID],customers[City],"")</f>
        <v>Columbus</v>
      </c>
      <c r="G200">
        <v>105</v>
      </c>
      <c r="H200" s="47" t="s">
        <v>37</v>
      </c>
      <c r="I200" s="48">
        <v>44995</v>
      </c>
      <c r="J200">
        <v>96</v>
      </c>
      <c r="K200">
        <v>5</v>
      </c>
      <c r="L200">
        <f>IF(MONTH(calls[[#This Row],[Date of Call]])&lt;=6,YEAR(calls[[#This Row],[Date of Call]]),YEAR(calls[[#This Row],[Date of Call]])+1)</f>
        <v>2023</v>
      </c>
      <c r="M200" t="str">
        <f>TEXT(calls[[#This Row],[Date of Call]],"DDDD")</f>
        <v>Friday</v>
      </c>
      <c r="N200" t="str" cm="1">
        <f t="array" ref="N2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00">
        <f>ROUND(calls[[#This Row],[Satisfaction Rating]],0)</f>
        <v>5</v>
      </c>
      <c r="P200" s="53">
        <f t="shared" si="3"/>
        <v>307</v>
      </c>
    </row>
    <row r="201" spans="2:16">
      <c r="B201" t="s">
        <v>281</v>
      </c>
      <c r="C201" t="s">
        <v>64</v>
      </c>
      <c r="D201" s="46" t="str" cm="1">
        <f t="array" ref="D201">_xlfn.XLOOKUP(C201,customers[Customer ID],customers[Gender],"")</f>
        <v>Female</v>
      </c>
      <c r="E201" s="46" cm="1">
        <f t="array" ref="E201">_xlfn.XLOOKUP(C201,customers[Customer ID],customers[Age],"")</f>
        <v>22</v>
      </c>
      <c r="F201" s="46" t="str" cm="1">
        <f t="array" ref="F201">_xlfn.XLOOKUP(C201,customers[Customer ID],customers[City],"")</f>
        <v>Cleveland</v>
      </c>
      <c r="G201">
        <v>71</v>
      </c>
      <c r="H201" s="47" t="s">
        <v>39</v>
      </c>
      <c r="I201" s="48">
        <v>44995</v>
      </c>
      <c r="J201">
        <v>105</v>
      </c>
      <c r="K201">
        <v>4</v>
      </c>
      <c r="L201">
        <f>IF(MONTH(calls[[#This Row],[Date of Call]])&lt;=6,YEAR(calls[[#This Row],[Date of Call]]),YEAR(calls[[#This Row],[Date of Call]])+1)</f>
        <v>2023</v>
      </c>
      <c r="M201" t="str">
        <f>TEXT(calls[[#This Row],[Date of Call]],"DDDD")</f>
        <v>Friday</v>
      </c>
      <c r="N201" t="str" cm="1">
        <f t="array" ref="N2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01">
        <f>ROUND(calls[[#This Row],[Satisfaction Rating]],0)</f>
        <v>4</v>
      </c>
      <c r="P201" s="53">
        <f t="shared" si="3"/>
        <v>307</v>
      </c>
    </row>
    <row r="202" spans="2:16">
      <c r="B202" t="s">
        <v>282</v>
      </c>
      <c r="C202" t="s">
        <v>60</v>
      </c>
      <c r="D202" s="46" t="str" cm="1">
        <f t="array" ref="D202">_xlfn.XLOOKUP(C202,customers[Customer ID],customers[Gender],"")</f>
        <v>Male</v>
      </c>
      <c r="E202" s="46" cm="1">
        <f t="array" ref="E202">_xlfn.XLOOKUP(C202,customers[Customer ID],customers[Age],"")</f>
        <v>36</v>
      </c>
      <c r="F202" s="46" t="str" cm="1">
        <f t="array" ref="F202">_xlfn.XLOOKUP(C202,customers[Customer ID],customers[City],"")</f>
        <v>Cincinnati</v>
      </c>
      <c r="G202">
        <v>100</v>
      </c>
      <c r="H202" s="47" t="s">
        <v>39</v>
      </c>
      <c r="I202" s="48">
        <v>44996</v>
      </c>
      <c r="J202">
        <v>44</v>
      </c>
      <c r="K202">
        <v>3.6</v>
      </c>
      <c r="L202">
        <f>IF(MONTH(calls[[#This Row],[Date of Call]])&lt;=6,YEAR(calls[[#This Row],[Date of Call]]),YEAR(calls[[#This Row],[Date of Call]])+1)</f>
        <v>2023</v>
      </c>
      <c r="M202" t="str">
        <f>TEXT(calls[[#This Row],[Date of Call]],"DDDD")</f>
        <v>Saturday</v>
      </c>
      <c r="N202" t="str" cm="1">
        <f t="array" ref="N2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02">
        <f>ROUND(calls[[#This Row],[Satisfaction Rating]],0)</f>
        <v>4</v>
      </c>
      <c r="P202" s="53">
        <f t="shared" si="3"/>
        <v>307</v>
      </c>
    </row>
    <row r="203" spans="2:16">
      <c r="B203" t="s">
        <v>283</v>
      </c>
      <c r="C203" t="s">
        <v>59</v>
      </c>
      <c r="D203" s="46" t="str" cm="1">
        <f t="array" ref="D203">_xlfn.XLOOKUP(C203,customers[Customer ID],customers[Gender],"")</f>
        <v>Male</v>
      </c>
      <c r="E203" s="46" cm="1">
        <f t="array" ref="E203">_xlfn.XLOOKUP(C203,customers[Customer ID],customers[Age],"")</f>
        <v>26</v>
      </c>
      <c r="F203" s="46" t="str" cm="1">
        <f t="array" ref="F203">_xlfn.XLOOKUP(C203,customers[Customer ID],customers[City],"")</f>
        <v>Cincinnati</v>
      </c>
      <c r="G203">
        <v>93</v>
      </c>
      <c r="H203" s="47" t="s">
        <v>36</v>
      </c>
      <c r="I203" s="48">
        <v>44996</v>
      </c>
      <c r="J203">
        <v>132</v>
      </c>
      <c r="K203">
        <v>3.7</v>
      </c>
      <c r="L203">
        <f>IF(MONTH(calls[[#This Row],[Date of Call]])&lt;=6,YEAR(calls[[#This Row],[Date of Call]]),YEAR(calls[[#This Row],[Date of Call]])+1)</f>
        <v>2023</v>
      </c>
      <c r="M203" t="str">
        <f>TEXT(calls[[#This Row],[Date of Call]],"DDDD")</f>
        <v>Saturday</v>
      </c>
      <c r="N203" t="str" cm="1">
        <f t="array" ref="N2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03">
        <f>ROUND(calls[[#This Row],[Satisfaction Rating]],0)</f>
        <v>4</v>
      </c>
      <c r="P203" s="53">
        <f t="shared" si="3"/>
        <v>307</v>
      </c>
    </row>
    <row r="204" spans="2:16">
      <c r="B204" t="s">
        <v>284</v>
      </c>
      <c r="C204" t="s">
        <v>70</v>
      </c>
      <c r="D204" s="46" t="str" cm="1">
        <f t="array" ref="D204">_xlfn.XLOOKUP(C204,customers[Customer ID],customers[Gender],"")</f>
        <v>Male</v>
      </c>
      <c r="E204" s="46" cm="1">
        <f t="array" ref="E204">_xlfn.XLOOKUP(C204,customers[Customer ID],customers[Age],"")</f>
        <v>37</v>
      </c>
      <c r="F204" s="46" t="str" cm="1">
        <f t="array" ref="F204">_xlfn.XLOOKUP(C204,customers[Customer ID],customers[City],"")</f>
        <v>Columbus</v>
      </c>
      <c r="G204">
        <v>84</v>
      </c>
      <c r="H204" s="47" t="s">
        <v>40</v>
      </c>
      <c r="I204" s="48">
        <v>44996</v>
      </c>
      <c r="J204">
        <v>54</v>
      </c>
      <c r="K204">
        <v>4.2</v>
      </c>
      <c r="L204">
        <f>IF(MONTH(calls[[#This Row],[Date of Call]])&lt;=6,YEAR(calls[[#This Row],[Date of Call]]),YEAR(calls[[#This Row],[Date of Call]])+1)</f>
        <v>2023</v>
      </c>
      <c r="M204" t="str">
        <f>TEXT(calls[[#This Row],[Date of Call]],"DDDD")</f>
        <v>Saturday</v>
      </c>
      <c r="N204" t="str" cm="1">
        <f t="array" ref="N20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04">
        <f>ROUND(calls[[#This Row],[Satisfaction Rating]],0)</f>
        <v>4</v>
      </c>
      <c r="P204" s="53">
        <f t="shared" si="3"/>
        <v>307</v>
      </c>
    </row>
    <row r="205" spans="2:16">
      <c r="B205" t="s">
        <v>285</v>
      </c>
      <c r="C205" t="s">
        <v>69</v>
      </c>
      <c r="D205" s="46" t="str" cm="1">
        <f t="array" ref="D205">_xlfn.XLOOKUP(C205,customers[Customer ID],customers[Gender],"")</f>
        <v>Male</v>
      </c>
      <c r="E205" s="46" cm="1">
        <f t="array" ref="E205">_xlfn.XLOOKUP(C205,customers[Customer ID],customers[Age],"")</f>
        <v>41</v>
      </c>
      <c r="F205" s="46" t="str" cm="1">
        <f t="array" ref="F205">_xlfn.XLOOKUP(C205,customers[Customer ID],customers[City],"")</f>
        <v>Columbus</v>
      </c>
      <c r="G205">
        <v>56</v>
      </c>
      <c r="H205" s="47" t="s">
        <v>38</v>
      </c>
      <c r="I205" s="48">
        <v>44996</v>
      </c>
      <c r="J205">
        <v>129</v>
      </c>
      <c r="K205">
        <v>2.1</v>
      </c>
      <c r="L205">
        <f>IF(MONTH(calls[[#This Row],[Date of Call]])&lt;=6,YEAR(calls[[#This Row],[Date of Call]]),YEAR(calls[[#This Row],[Date of Call]])+1)</f>
        <v>2023</v>
      </c>
      <c r="M205" t="str">
        <f>TEXT(calls[[#This Row],[Date of Call]],"DDDD")</f>
        <v>Saturday</v>
      </c>
      <c r="N205" t="str" cm="1">
        <f t="array" ref="N20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05">
        <f>ROUND(calls[[#This Row],[Satisfaction Rating]],0)</f>
        <v>2</v>
      </c>
      <c r="P205" s="53">
        <f t="shared" si="3"/>
        <v>307</v>
      </c>
    </row>
    <row r="206" spans="2:16">
      <c r="B206" t="s">
        <v>286</v>
      </c>
      <c r="C206" t="s">
        <v>69</v>
      </c>
      <c r="D206" s="46" t="str" cm="1">
        <f t="array" ref="D206">_xlfn.XLOOKUP(C206,customers[Customer ID],customers[Gender],"")</f>
        <v>Male</v>
      </c>
      <c r="E206" s="46" cm="1">
        <f t="array" ref="E206">_xlfn.XLOOKUP(C206,customers[Customer ID],customers[Age],"")</f>
        <v>41</v>
      </c>
      <c r="F206" s="46" t="str" cm="1">
        <f t="array" ref="F206">_xlfn.XLOOKUP(C206,customers[Customer ID],customers[City],"")</f>
        <v>Columbus</v>
      </c>
      <c r="G206">
        <v>63</v>
      </c>
      <c r="H206" s="47" t="s">
        <v>39</v>
      </c>
      <c r="I206" s="48">
        <v>44996</v>
      </c>
      <c r="J206">
        <v>42</v>
      </c>
      <c r="K206">
        <v>4</v>
      </c>
      <c r="L206">
        <f>IF(MONTH(calls[[#This Row],[Date of Call]])&lt;=6,YEAR(calls[[#This Row],[Date of Call]]),YEAR(calls[[#This Row],[Date of Call]])+1)</f>
        <v>2023</v>
      </c>
      <c r="M206" t="str">
        <f>TEXT(calls[[#This Row],[Date of Call]],"DDDD")</f>
        <v>Saturday</v>
      </c>
      <c r="N206" t="str" cm="1">
        <f t="array" ref="N20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06">
        <f>ROUND(calls[[#This Row],[Satisfaction Rating]],0)</f>
        <v>4</v>
      </c>
      <c r="P206" s="53">
        <f t="shared" si="3"/>
        <v>307</v>
      </c>
    </row>
    <row r="207" spans="2:16">
      <c r="B207" t="s">
        <v>287</v>
      </c>
      <c r="C207" t="s">
        <v>72</v>
      </c>
      <c r="D207" s="46" t="str" cm="1">
        <f t="array" ref="D207">_xlfn.XLOOKUP(C207,customers[Customer ID],customers[Gender],"")</f>
        <v>Female</v>
      </c>
      <c r="E207" s="46" cm="1">
        <f t="array" ref="E207">_xlfn.XLOOKUP(C207,customers[Customer ID],customers[Age],"")</f>
        <v>25</v>
      </c>
      <c r="F207" s="46" t="str" cm="1">
        <f t="array" ref="F207">_xlfn.XLOOKUP(C207,customers[Customer ID],customers[City],"")</f>
        <v>Columbus</v>
      </c>
      <c r="G207">
        <v>83</v>
      </c>
      <c r="H207" s="47" t="s">
        <v>39</v>
      </c>
      <c r="I207" s="48">
        <v>44996</v>
      </c>
      <c r="J207">
        <v>42</v>
      </c>
      <c r="K207">
        <v>4.2</v>
      </c>
      <c r="L207">
        <f>IF(MONTH(calls[[#This Row],[Date of Call]])&lt;=6,YEAR(calls[[#This Row],[Date of Call]]),YEAR(calls[[#This Row],[Date of Call]])+1)</f>
        <v>2023</v>
      </c>
      <c r="M207" t="str">
        <f>TEXT(calls[[#This Row],[Date of Call]],"DDDD")</f>
        <v>Saturday</v>
      </c>
      <c r="N207" t="str" cm="1">
        <f t="array" ref="N2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07">
        <f>ROUND(calls[[#This Row],[Satisfaction Rating]],0)</f>
        <v>4</v>
      </c>
      <c r="P207" s="53">
        <f t="shared" si="3"/>
        <v>307</v>
      </c>
    </row>
    <row r="208" spans="2:16">
      <c r="B208" t="s">
        <v>288</v>
      </c>
      <c r="C208" t="s">
        <v>67</v>
      </c>
      <c r="D208" s="46" t="str" cm="1">
        <f t="array" ref="D208">_xlfn.XLOOKUP(C208,customers[Customer ID],customers[Gender],"")</f>
        <v>Female</v>
      </c>
      <c r="E208" s="46" cm="1">
        <f t="array" ref="E208">_xlfn.XLOOKUP(C208,customers[Customer ID],customers[Age],"")</f>
        <v>37</v>
      </c>
      <c r="F208" s="46" t="str" cm="1">
        <f t="array" ref="F208">_xlfn.XLOOKUP(C208,customers[Customer ID],customers[City],"")</f>
        <v>Cleveland</v>
      </c>
      <c r="G208">
        <v>134</v>
      </c>
      <c r="H208" s="47" t="s">
        <v>40</v>
      </c>
      <c r="I208" s="48">
        <v>44996</v>
      </c>
      <c r="J208">
        <v>180</v>
      </c>
      <c r="K208">
        <v>3.1</v>
      </c>
      <c r="L208">
        <f>IF(MONTH(calls[[#This Row],[Date of Call]])&lt;=6,YEAR(calls[[#This Row],[Date of Call]]),YEAR(calls[[#This Row],[Date of Call]])+1)</f>
        <v>2023</v>
      </c>
      <c r="M208" t="str">
        <f>TEXT(calls[[#This Row],[Date of Call]],"DDDD")</f>
        <v>Saturday</v>
      </c>
      <c r="N208" t="str" cm="1">
        <f t="array" ref="N20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08">
        <f>ROUND(calls[[#This Row],[Satisfaction Rating]],0)</f>
        <v>3</v>
      </c>
      <c r="P208" s="53">
        <f t="shared" si="3"/>
        <v>307</v>
      </c>
    </row>
    <row r="209" spans="2:16">
      <c r="B209" t="s">
        <v>289</v>
      </c>
      <c r="C209" t="s">
        <v>61</v>
      </c>
      <c r="D209" s="46" t="str" cm="1">
        <f t="array" ref="D209">_xlfn.XLOOKUP(C209,customers[Customer ID],customers[Gender],"")</f>
        <v>Female</v>
      </c>
      <c r="E209" s="46" cm="1">
        <f t="array" ref="E209">_xlfn.XLOOKUP(C209,customers[Customer ID],customers[Age],"")</f>
        <v>30</v>
      </c>
      <c r="F209" s="46" t="str" cm="1">
        <f t="array" ref="F209">_xlfn.XLOOKUP(C209,customers[Customer ID],customers[City],"")</f>
        <v>Cincinnati</v>
      </c>
      <c r="G209">
        <v>73</v>
      </c>
      <c r="H209" s="47" t="s">
        <v>39</v>
      </c>
      <c r="I209" s="48">
        <v>44997</v>
      </c>
      <c r="J209">
        <v>34</v>
      </c>
      <c r="K209">
        <v>4.8</v>
      </c>
      <c r="L209">
        <f>IF(MONTH(calls[[#This Row],[Date of Call]])&lt;=6,YEAR(calls[[#This Row],[Date of Call]]),YEAR(calls[[#This Row],[Date of Call]])+1)</f>
        <v>2023</v>
      </c>
      <c r="M209" t="str">
        <f>TEXT(calls[[#This Row],[Date of Call]],"DDDD")</f>
        <v>Sunday</v>
      </c>
      <c r="N209" t="str" cm="1">
        <f t="array" ref="N2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09">
        <f>ROUND(calls[[#This Row],[Satisfaction Rating]],0)</f>
        <v>5</v>
      </c>
      <c r="P209" s="53">
        <f t="shared" si="3"/>
        <v>307</v>
      </c>
    </row>
    <row r="210" spans="2:16">
      <c r="B210" t="s">
        <v>290</v>
      </c>
      <c r="C210" t="s">
        <v>65</v>
      </c>
      <c r="D210" s="46" t="str" cm="1">
        <f t="array" ref="D210">_xlfn.XLOOKUP(C210,customers[Customer ID],customers[Gender],"")</f>
        <v>Female</v>
      </c>
      <c r="E210" s="46" cm="1">
        <f t="array" ref="E210">_xlfn.XLOOKUP(C210,customers[Customer ID],customers[Age],"")</f>
        <v>42</v>
      </c>
      <c r="F210" s="46" t="str" cm="1">
        <f t="array" ref="F210">_xlfn.XLOOKUP(C210,customers[Customer ID],customers[City],"")</f>
        <v>Cleveland</v>
      </c>
      <c r="G210">
        <v>6</v>
      </c>
      <c r="H210" s="47" t="s">
        <v>38</v>
      </c>
      <c r="I210" s="48">
        <v>44997</v>
      </c>
      <c r="J210">
        <v>29</v>
      </c>
      <c r="K210">
        <v>4.7</v>
      </c>
      <c r="L210">
        <f>IF(MONTH(calls[[#This Row],[Date of Call]])&lt;=6,YEAR(calls[[#This Row],[Date of Call]]),YEAR(calls[[#This Row],[Date of Call]])+1)</f>
        <v>2023</v>
      </c>
      <c r="M210" t="str">
        <f>TEXT(calls[[#This Row],[Date of Call]],"DDDD")</f>
        <v>Sunday</v>
      </c>
      <c r="N210" t="str" cm="1">
        <f t="array" ref="N210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O210">
        <f>ROUND(calls[[#This Row],[Satisfaction Rating]],0)</f>
        <v>5</v>
      </c>
      <c r="P210" s="53">
        <f t="shared" si="3"/>
        <v>307</v>
      </c>
    </row>
    <row r="211" spans="2:16">
      <c r="B211" t="s">
        <v>291</v>
      </c>
      <c r="C211" t="s">
        <v>62</v>
      </c>
      <c r="D211" s="46" t="str" cm="1">
        <f t="array" ref="D211">_xlfn.XLOOKUP(C211,customers[Customer ID],customers[Gender],"")</f>
        <v>Female</v>
      </c>
      <c r="E211" s="46" cm="1">
        <f t="array" ref="E211">_xlfn.XLOOKUP(C211,customers[Customer ID],customers[Age],"")</f>
        <v>28</v>
      </c>
      <c r="F211" s="46" t="str" cm="1">
        <f t="array" ref="F211">_xlfn.XLOOKUP(C211,customers[Customer ID],customers[City],"")</f>
        <v>Cincinnati</v>
      </c>
      <c r="G211">
        <v>46</v>
      </c>
      <c r="H211" s="47" t="s">
        <v>37</v>
      </c>
      <c r="I211" s="48">
        <v>44997</v>
      </c>
      <c r="J211">
        <v>165</v>
      </c>
      <c r="K211">
        <v>3.3</v>
      </c>
      <c r="L211">
        <f>IF(MONTH(calls[[#This Row],[Date of Call]])&lt;=6,YEAR(calls[[#This Row],[Date of Call]]),YEAR(calls[[#This Row],[Date of Call]])+1)</f>
        <v>2023</v>
      </c>
      <c r="M211" t="str">
        <f>TEXT(calls[[#This Row],[Date of Call]],"DDDD")</f>
        <v>Sunday</v>
      </c>
      <c r="N211" t="str" cm="1">
        <f t="array" ref="N21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11">
        <f>ROUND(calls[[#This Row],[Satisfaction Rating]],0)</f>
        <v>3</v>
      </c>
      <c r="P211" s="53">
        <f t="shared" si="3"/>
        <v>307</v>
      </c>
    </row>
    <row r="212" spans="2:16">
      <c r="B212" t="s">
        <v>292</v>
      </c>
      <c r="C212" t="s">
        <v>65</v>
      </c>
      <c r="D212" s="46" t="str" cm="1">
        <f t="array" ref="D212">_xlfn.XLOOKUP(C212,customers[Customer ID],customers[Gender],"")</f>
        <v>Female</v>
      </c>
      <c r="E212" s="46" cm="1">
        <f t="array" ref="E212">_xlfn.XLOOKUP(C212,customers[Customer ID],customers[Age],"")</f>
        <v>42</v>
      </c>
      <c r="F212" s="46" t="str" cm="1">
        <f t="array" ref="F212">_xlfn.XLOOKUP(C212,customers[Customer ID],customers[City],"")</f>
        <v>Cleveland</v>
      </c>
      <c r="G212">
        <v>121</v>
      </c>
      <c r="H212" s="47" t="s">
        <v>39</v>
      </c>
      <c r="I212" s="48">
        <v>44998</v>
      </c>
      <c r="J212">
        <v>32</v>
      </c>
      <c r="K212">
        <v>3.7</v>
      </c>
      <c r="L212">
        <f>IF(MONTH(calls[[#This Row],[Date of Call]])&lt;=6,YEAR(calls[[#This Row],[Date of Call]]),YEAR(calls[[#This Row],[Date of Call]])+1)</f>
        <v>2023</v>
      </c>
      <c r="M212" t="str">
        <f>TEXT(calls[[#This Row],[Date of Call]],"DDDD")</f>
        <v>Monday</v>
      </c>
      <c r="N212" t="str" cm="1">
        <f t="array" ref="N21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12">
        <f>ROUND(calls[[#This Row],[Satisfaction Rating]],0)</f>
        <v>4</v>
      </c>
      <c r="P212" s="53">
        <f t="shared" si="3"/>
        <v>307</v>
      </c>
    </row>
    <row r="213" spans="2:16">
      <c r="B213" t="s">
        <v>293</v>
      </c>
      <c r="C213" t="s">
        <v>69</v>
      </c>
      <c r="D213" s="46" t="str" cm="1">
        <f t="array" ref="D213">_xlfn.XLOOKUP(C213,customers[Customer ID],customers[Gender],"")</f>
        <v>Male</v>
      </c>
      <c r="E213" s="46" cm="1">
        <f t="array" ref="E213">_xlfn.XLOOKUP(C213,customers[Customer ID],customers[Age],"")</f>
        <v>41</v>
      </c>
      <c r="F213" s="46" t="str" cm="1">
        <f t="array" ref="F213">_xlfn.XLOOKUP(C213,customers[Customer ID],customers[City],"")</f>
        <v>Columbus</v>
      </c>
      <c r="G213">
        <v>61</v>
      </c>
      <c r="H213" s="47" t="s">
        <v>36</v>
      </c>
      <c r="I213" s="48">
        <v>44998</v>
      </c>
      <c r="J213">
        <v>160</v>
      </c>
      <c r="K213">
        <v>4.9</v>
      </c>
      <c r="L213">
        <f>IF(MONTH(calls[[#This Row],[Date of Call]])&lt;=6,YEAR(calls[[#This Row],[Date of Call]]),YEAR(calls[[#This Row],[Date of Call]])+1)</f>
        <v>2023</v>
      </c>
      <c r="M213" t="str">
        <f>TEXT(calls[[#This Row],[Date of Call]],"DDDD")</f>
        <v>Monday</v>
      </c>
      <c r="N213" t="str" cm="1">
        <f t="array" ref="N21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13">
        <f>ROUND(calls[[#This Row],[Satisfaction Rating]],0)</f>
        <v>5</v>
      </c>
      <c r="P213" s="53">
        <f t="shared" si="3"/>
        <v>307</v>
      </c>
    </row>
    <row r="214" spans="2:16">
      <c r="B214" t="s">
        <v>294</v>
      </c>
      <c r="C214" t="s">
        <v>67</v>
      </c>
      <c r="D214" s="46" t="str" cm="1">
        <f t="array" ref="D214">_xlfn.XLOOKUP(C214,customers[Customer ID],customers[Gender],"")</f>
        <v>Female</v>
      </c>
      <c r="E214" s="46" cm="1">
        <f t="array" ref="E214">_xlfn.XLOOKUP(C214,customers[Customer ID],customers[Age],"")</f>
        <v>37</v>
      </c>
      <c r="F214" s="46" t="str" cm="1">
        <f t="array" ref="F214">_xlfn.XLOOKUP(C214,customers[Customer ID],customers[City],"")</f>
        <v>Cleveland</v>
      </c>
      <c r="G214">
        <v>144</v>
      </c>
      <c r="H214" s="47" t="s">
        <v>40</v>
      </c>
      <c r="I214" s="48">
        <v>44998</v>
      </c>
      <c r="J214">
        <v>140</v>
      </c>
      <c r="K214">
        <v>3.5</v>
      </c>
      <c r="L214">
        <f>IF(MONTH(calls[[#This Row],[Date of Call]])&lt;=6,YEAR(calls[[#This Row],[Date of Call]]),YEAR(calls[[#This Row],[Date of Call]])+1)</f>
        <v>2023</v>
      </c>
      <c r="M214" t="str">
        <f>TEXT(calls[[#This Row],[Date of Call]],"DDDD")</f>
        <v>Monday</v>
      </c>
      <c r="N214" t="str" cm="1">
        <f t="array" ref="N21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14">
        <f>ROUND(calls[[#This Row],[Satisfaction Rating]],0)</f>
        <v>4</v>
      </c>
      <c r="P214" s="53">
        <f t="shared" si="3"/>
        <v>307</v>
      </c>
    </row>
    <row r="215" spans="2:16">
      <c r="B215" t="s">
        <v>295</v>
      </c>
      <c r="C215" t="s">
        <v>62</v>
      </c>
      <c r="D215" s="46" t="str" cm="1">
        <f t="array" ref="D215">_xlfn.XLOOKUP(C215,customers[Customer ID],customers[Gender],"")</f>
        <v>Female</v>
      </c>
      <c r="E215" s="46" cm="1">
        <f t="array" ref="E215">_xlfn.XLOOKUP(C215,customers[Customer ID],customers[Age],"")</f>
        <v>28</v>
      </c>
      <c r="F215" s="46" t="str" cm="1">
        <f t="array" ref="F215">_xlfn.XLOOKUP(C215,customers[Customer ID],customers[City],"")</f>
        <v>Cincinnati</v>
      </c>
      <c r="G215">
        <v>145</v>
      </c>
      <c r="H215" s="47" t="s">
        <v>40</v>
      </c>
      <c r="I215" s="48">
        <v>44998</v>
      </c>
      <c r="J215">
        <v>136</v>
      </c>
      <c r="K215">
        <v>4.4</v>
      </c>
      <c r="L215">
        <f>IF(MONTH(calls[[#This Row],[Date of Call]])&lt;=6,YEAR(calls[[#This Row],[Date of Call]]),YEAR(calls[[#This Row],[Date of Call]])+1)</f>
        <v>2023</v>
      </c>
      <c r="M215" t="str">
        <f>TEXT(calls[[#This Row],[Date of Call]],"DDDD")</f>
        <v>Monday</v>
      </c>
      <c r="N215" t="str" cm="1">
        <f t="array" ref="N21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15">
        <f>ROUND(calls[[#This Row],[Satisfaction Rating]],0)</f>
        <v>4</v>
      </c>
      <c r="P215" s="53">
        <f t="shared" si="3"/>
        <v>307</v>
      </c>
    </row>
    <row r="216" spans="2:16">
      <c r="B216" t="s">
        <v>296</v>
      </c>
      <c r="C216" t="s">
        <v>70</v>
      </c>
      <c r="D216" s="46" t="str" cm="1">
        <f t="array" ref="D216">_xlfn.XLOOKUP(C216,customers[Customer ID],customers[Gender],"")</f>
        <v>Male</v>
      </c>
      <c r="E216" s="46" cm="1">
        <f t="array" ref="E216">_xlfn.XLOOKUP(C216,customers[Customer ID],customers[Age],"")</f>
        <v>37</v>
      </c>
      <c r="F216" s="46" t="str" cm="1">
        <f t="array" ref="F216">_xlfn.XLOOKUP(C216,customers[Customer ID],customers[City],"")</f>
        <v>Columbus</v>
      </c>
      <c r="G216">
        <v>85</v>
      </c>
      <c r="H216" s="47" t="s">
        <v>38</v>
      </c>
      <c r="I216" s="48">
        <v>44998</v>
      </c>
      <c r="J216">
        <v>66</v>
      </c>
      <c r="K216">
        <v>2.8</v>
      </c>
      <c r="L216">
        <f>IF(MONTH(calls[[#This Row],[Date of Call]])&lt;=6,YEAR(calls[[#This Row],[Date of Call]]),YEAR(calls[[#This Row],[Date of Call]])+1)</f>
        <v>2023</v>
      </c>
      <c r="M216" t="str">
        <f>TEXT(calls[[#This Row],[Date of Call]],"DDDD")</f>
        <v>Monday</v>
      </c>
      <c r="N216" t="str" cm="1">
        <f t="array" ref="N21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16">
        <f>ROUND(calls[[#This Row],[Satisfaction Rating]],0)</f>
        <v>3</v>
      </c>
      <c r="P216" s="53">
        <f t="shared" si="3"/>
        <v>307</v>
      </c>
    </row>
    <row r="217" spans="2:16">
      <c r="B217" t="s">
        <v>297</v>
      </c>
      <c r="C217" t="s">
        <v>62</v>
      </c>
      <c r="D217" s="46" t="str" cm="1">
        <f t="array" ref="D217">_xlfn.XLOOKUP(C217,customers[Customer ID],customers[Gender],"")</f>
        <v>Female</v>
      </c>
      <c r="E217" s="46" cm="1">
        <f t="array" ref="E217">_xlfn.XLOOKUP(C217,customers[Customer ID],customers[Age],"")</f>
        <v>28</v>
      </c>
      <c r="F217" s="46" t="str" cm="1">
        <f t="array" ref="F217">_xlfn.XLOOKUP(C217,customers[Customer ID],customers[City],"")</f>
        <v>Cincinnati</v>
      </c>
      <c r="G217">
        <v>13</v>
      </c>
      <c r="H217" s="47" t="s">
        <v>36</v>
      </c>
      <c r="I217" s="48">
        <v>44999</v>
      </c>
      <c r="J217">
        <v>63</v>
      </c>
      <c r="K217">
        <v>4.1</v>
      </c>
      <c r="L217">
        <f>IF(MONTH(calls[[#This Row],[Date of Call]])&lt;=6,YEAR(calls[[#This Row],[Date of Call]]),YEAR(calls[[#This Row],[Date of Call]])+1)</f>
        <v>2023</v>
      </c>
      <c r="M217" t="str">
        <f>TEXT(calls[[#This Row],[Date of Call]],"DDDD")</f>
        <v>Tuesday</v>
      </c>
      <c r="N217" t="str" cm="1">
        <f t="array" ref="N21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217">
        <f>ROUND(calls[[#This Row],[Satisfaction Rating]],0)</f>
        <v>4</v>
      </c>
      <c r="P217" s="53">
        <f t="shared" si="3"/>
        <v>307</v>
      </c>
    </row>
    <row r="218" spans="2:16">
      <c r="B218" t="s">
        <v>298</v>
      </c>
      <c r="C218" t="s">
        <v>59</v>
      </c>
      <c r="D218" s="46" t="str" cm="1">
        <f t="array" ref="D218">_xlfn.XLOOKUP(C218,customers[Customer ID],customers[Gender],"")</f>
        <v>Male</v>
      </c>
      <c r="E218" s="46" cm="1">
        <f t="array" ref="E218">_xlfn.XLOOKUP(C218,customers[Customer ID],customers[Age],"")</f>
        <v>26</v>
      </c>
      <c r="F218" s="46" t="str" cm="1">
        <f t="array" ref="F218">_xlfn.XLOOKUP(C218,customers[Customer ID],customers[City],"")</f>
        <v>Cincinnati</v>
      </c>
      <c r="G218">
        <v>142</v>
      </c>
      <c r="H218" s="47" t="s">
        <v>39</v>
      </c>
      <c r="I218" s="48">
        <v>44999</v>
      </c>
      <c r="J218">
        <v>44</v>
      </c>
      <c r="K218">
        <v>3.5</v>
      </c>
      <c r="L218">
        <f>IF(MONTH(calls[[#This Row],[Date of Call]])&lt;=6,YEAR(calls[[#This Row],[Date of Call]]),YEAR(calls[[#This Row],[Date of Call]])+1)</f>
        <v>2023</v>
      </c>
      <c r="M218" t="str">
        <f>TEXT(calls[[#This Row],[Date of Call]],"DDDD")</f>
        <v>Tuesday</v>
      </c>
      <c r="N218" t="str" cm="1">
        <f t="array" ref="N21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18">
        <f>ROUND(calls[[#This Row],[Satisfaction Rating]],0)</f>
        <v>4</v>
      </c>
      <c r="P218" s="53">
        <f t="shared" si="3"/>
        <v>307</v>
      </c>
    </row>
    <row r="219" spans="2:16">
      <c r="B219" t="s">
        <v>299</v>
      </c>
      <c r="C219" t="s">
        <v>67</v>
      </c>
      <c r="D219" s="46" t="str" cm="1">
        <f t="array" ref="D219">_xlfn.XLOOKUP(C219,customers[Customer ID],customers[Gender],"")</f>
        <v>Female</v>
      </c>
      <c r="E219" s="46" cm="1">
        <f t="array" ref="E219">_xlfn.XLOOKUP(C219,customers[Customer ID],customers[Age],"")</f>
        <v>37</v>
      </c>
      <c r="F219" s="46" t="str" cm="1">
        <f t="array" ref="F219">_xlfn.XLOOKUP(C219,customers[Customer ID],customers[City],"")</f>
        <v>Cleveland</v>
      </c>
      <c r="G219">
        <v>28</v>
      </c>
      <c r="H219" s="47" t="s">
        <v>37</v>
      </c>
      <c r="I219" s="48">
        <v>44999</v>
      </c>
      <c r="J219">
        <v>78</v>
      </c>
      <c r="K219">
        <v>3.8</v>
      </c>
      <c r="L219">
        <f>IF(MONTH(calls[[#This Row],[Date of Call]])&lt;=6,YEAR(calls[[#This Row],[Date of Call]]),YEAR(calls[[#This Row],[Date of Call]])+1)</f>
        <v>2023</v>
      </c>
      <c r="M219" t="str">
        <f>TEXT(calls[[#This Row],[Date of Call]],"DDDD")</f>
        <v>Tuesday</v>
      </c>
      <c r="N219" t="str" cm="1">
        <f t="array" ref="N21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219">
        <f>ROUND(calls[[#This Row],[Satisfaction Rating]],0)</f>
        <v>4</v>
      </c>
      <c r="P219" s="53">
        <f t="shared" si="3"/>
        <v>307</v>
      </c>
    </row>
    <row r="220" spans="2:16">
      <c r="B220" t="s">
        <v>300</v>
      </c>
      <c r="C220" t="s">
        <v>67</v>
      </c>
      <c r="D220" s="46" t="str" cm="1">
        <f t="array" ref="D220">_xlfn.XLOOKUP(C220,customers[Customer ID],customers[Gender],"")</f>
        <v>Female</v>
      </c>
      <c r="E220" s="46" cm="1">
        <f t="array" ref="E220">_xlfn.XLOOKUP(C220,customers[Customer ID],customers[Age],"")</f>
        <v>37</v>
      </c>
      <c r="F220" s="46" t="str" cm="1">
        <f t="array" ref="F220">_xlfn.XLOOKUP(C220,customers[Customer ID],customers[City],"")</f>
        <v>Cleveland</v>
      </c>
      <c r="G220">
        <v>119</v>
      </c>
      <c r="H220" s="47" t="s">
        <v>39</v>
      </c>
      <c r="I220" s="48">
        <v>44999</v>
      </c>
      <c r="J220">
        <v>20</v>
      </c>
      <c r="K220">
        <v>3.9</v>
      </c>
      <c r="L220">
        <f>IF(MONTH(calls[[#This Row],[Date of Call]])&lt;=6,YEAR(calls[[#This Row],[Date of Call]]),YEAR(calls[[#This Row],[Date of Call]])+1)</f>
        <v>2023</v>
      </c>
      <c r="M220" t="str">
        <f>TEXT(calls[[#This Row],[Date of Call]],"DDDD")</f>
        <v>Tuesday</v>
      </c>
      <c r="N220" t="str" cm="1">
        <f t="array" ref="N22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20">
        <f>ROUND(calls[[#This Row],[Satisfaction Rating]],0)</f>
        <v>4</v>
      </c>
      <c r="P220" s="53">
        <f t="shared" si="3"/>
        <v>307</v>
      </c>
    </row>
    <row r="221" spans="2:16">
      <c r="B221" t="s">
        <v>301</v>
      </c>
      <c r="C221" t="s">
        <v>65</v>
      </c>
      <c r="D221" s="46" t="str" cm="1">
        <f t="array" ref="D221">_xlfn.XLOOKUP(C221,customers[Customer ID],customers[Gender],"")</f>
        <v>Female</v>
      </c>
      <c r="E221" s="46" cm="1">
        <f t="array" ref="E221">_xlfn.XLOOKUP(C221,customers[Customer ID],customers[Age],"")</f>
        <v>42</v>
      </c>
      <c r="F221" s="46" t="str" cm="1">
        <f t="array" ref="F221">_xlfn.XLOOKUP(C221,customers[Customer ID],customers[City],"")</f>
        <v>Cleveland</v>
      </c>
      <c r="G221">
        <v>65</v>
      </c>
      <c r="H221" s="47" t="s">
        <v>38</v>
      </c>
      <c r="I221" s="48">
        <v>44999</v>
      </c>
      <c r="J221">
        <v>84</v>
      </c>
      <c r="K221">
        <v>2.5</v>
      </c>
      <c r="L221">
        <f>IF(MONTH(calls[[#This Row],[Date of Call]])&lt;=6,YEAR(calls[[#This Row],[Date of Call]]),YEAR(calls[[#This Row],[Date of Call]])+1)</f>
        <v>2023</v>
      </c>
      <c r="M221" t="str">
        <f>TEXT(calls[[#This Row],[Date of Call]],"DDDD")</f>
        <v>Tuesday</v>
      </c>
      <c r="N221" t="str" cm="1">
        <f t="array" ref="N2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21">
        <f>ROUND(calls[[#This Row],[Satisfaction Rating]],0)</f>
        <v>3</v>
      </c>
      <c r="P221" s="53">
        <f t="shared" si="3"/>
        <v>307</v>
      </c>
    </row>
    <row r="222" spans="2:16">
      <c r="B222" t="s">
        <v>302</v>
      </c>
      <c r="C222" t="s">
        <v>63</v>
      </c>
      <c r="D222" s="46" t="str" cm="1">
        <f t="array" ref="D222">_xlfn.XLOOKUP(C222,customers[Customer ID],customers[Gender],"")</f>
        <v>Male</v>
      </c>
      <c r="E222" s="46" cm="1">
        <f t="array" ref="E222">_xlfn.XLOOKUP(C222,customers[Customer ID],customers[Age],"")</f>
        <v>31</v>
      </c>
      <c r="F222" s="46" t="str" cm="1">
        <f t="array" ref="F222">_xlfn.XLOOKUP(C222,customers[Customer ID],customers[City],"")</f>
        <v>Cleveland</v>
      </c>
      <c r="G222">
        <v>68</v>
      </c>
      <c r="H222" s="47" t="s">
        <v>38</v>
      </c>
      <c r="I222" s="48">
        <v>44999</v>
      </c>
      <c r="J222">
        <v>32</v>
      </c>
      <c r="K222">
        <v>4.9</v>
      </c>
      <c r="L222">
        <f>IF(MONTH(calls[[#This Row],[Date of Call]])&lt;=6,YEAR(calls[[#This Row],[Date of Call]]),YEAR(calls[[#This Row],[Date of Call]])+1)</f>
        <v>2023</v>
      </c>
      <c r="M222" t="str">
        <f>TEXT(calls[[#This Row],[Date of Call]],"DDDD")</f>
        <v>Tuesday</v>
      </c>
      <c r="N222" t="str" cm="1">
        <f t="array" ref="N22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22">
        <f>ROUND(calls[[#This Row],[Satisfaction Rating]],0)</f>
        <v>5</v>
      </c>
      <c r="P222" s="53">
        <f t="shared" si="3"/>
        <v>307</v>
      </c>
    </row>
    <row r="223" spans="2:16">
      <c r="B223" t="s">
        <v>303</v>
      </c>
      <c r="C223" t="s">
        <v>72</v>
      </c>
      <c r="D223" s="46" t="str" cm="1">
        <f t="array" ref="D223">_xlfn.XLOOKUP(C223,customers[Customer ID],customers[Gender],"")</f>
        <v>Female</v>
      </c>
      <c r="E223" s="46" cm="1">
        <f t="array" ref="E223">_xlfn.XLOOKUP(C223,customers[Customer ID],customers[Age],"")</f>
        <v>25</v>
      </c>
      <c r="F223" s="46" t="str" cm="1">
        <f t="array" ref="F223">_xlfn.XLOOKUP(C223,customers[Customer ID],customers[City],"")</f>
        <v>Columbus</v>
      </c>
      <c r="G223">
        <v>72</v>
      </c>
      <c r="H223" s="47" t="s">
        <v>37</v>
      </c>
      <c r="I223" s="48">
        <v>44999</v>
      </c>
      <c r="J223">
        <v>132</v>
      </c>
      <c r="K223">
        <v>3.4</v>
      </c>
      <c r="L223">
        <f>IF(MONTH(calls[[#This Row],[Date of Call]])&lt;=6,YEAR(calls[[#This Row],[Date of Call]]),YEAR(calls[[#This Row],[Date of Call]])+1)</f>
        <v>2023</v>
      </c>
      <c r="M223" t="str">
        <f>TEXT(calls[[#This Row],[Date of Call]],"DDDD")</f>
        <v>Tuesday</v>
      </c>
      <c r="N223" t="str" cm="1">
        <f t="array" ref="N2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23">
        <f>ROUND(calls[[#This Row],[Satisfaction Rating]],0)</f>
        <v>3</v>
      </c>
      <c r="P223" s="53">
        <f t="shared" si="3"/>
        <v>307</v>
      </c>
    </row>
    <row r="224" spans="2:16">
      <c r="B224" t="s">
        <v>304</v>
      </c>
      <c r="C224" t="s">
        <v>72</v>
      </c>
      <c r="D224" s="46" t="str" cm="1">
        <f t="array" ref="D224">_xlfn.XLOOKUP(C224,customers[Customer ID],customers[Gender],"")</f>
        <v>Female</v>
      </c>
      <c r="E224" s="46" cm="1">
        <f t="array" ref="E224">_xlfn.XLOOKUP(C224,customers[Customer ID],customers[Age],"")</f>
        <v>25</v>
      </c>
      <c r="F224" s="46" t="str" cm="1">
        <f t="array" ref="F224">_xlfn.XLOOKUP(C224,customers[Customer ID],customers[City],"")</f>
        <v>Columbus</v>
      </c>
      <c r="G224">
        <v>63</v>
      </c>
      <c r="H224" s="47" t="s">
        <v>40</v>
      </c>
      <c r="I224" s="48">
        <v>44999</v>
      </c>
      <c r="J224">
        <v>105</v>
      </c>
      <c r="K224">
        <v>3.3</v>
      </c>
      <c r="L224">
        <f>IF(MONTH(calls[[#This Row],[Date of Call]])&lt;=6,YEAR(calls[[#This Row],[Date of Call]]),YEAR(calls[[#This Row],[Date of Call]])+1)</f>
        <v>2023</v>
      </c>
      <c r="M224" t="str">
        <f>TEXT(calls[[#This Row],[Date of Call]],"DDDD")</f>
        <v>Tuesday</v>
      </c>
      <c r="N224" t="str" cm="1">
        <f t="array" ref="N22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24">
        <f>ROUND(calls[[#This Row],[Satisfaction Rating]],0)</f>
        <v>3</v>
      </c>
      <c r="P224" s="53">
        <f t="shared" si="3"/>
        <v>307</v>
      </c>
    </row>
    <row r="225" spans="2:16">
      <c r="B225" t="s">
        <v>305</v>
      </c>
      <c r="C225" t="s">
        <v>60</v>
      </c>
      <c r="D225" s="46" t="str" cm="1">
        <f t="array" ref="D225">_xlfn.XLOOKUP(C225,customers[Customer ID],customers[Gender],"")</f>
        <v>Male</v>
      </c>
      <c r="E225" s="46" cm="1">
        <f t="array" ref="E225">_xlfn.XLOOKUP(C225,customers[Customer ID],customers[Age],"")</f>
        <v>36</v>
      </c>
      <c r="F225" s="46" t="str" cm="1">
        <f t="array" ref="F225">_xlfn.XLOOKUP(C225,customers[Customer ID],customers[City],"")</f>
        <v>Cincinnati</v>
      </c>
      <c r="G225">
        <v>139</v>
      </c>
      <c r="H225" s="47" t="s">
        <v>39</v>
      </c>
      <c r="I225" s="48">
        <v>45000</v>
      </c>
      <c r="J225">
        <v>48</v>
      </c>
      <c r="K225">
        <v>4.7</v>
      </c>
      <c r="L225">
        <f>IF(MONTH(calls[[#This Row],[Date of Call]])&lt;=6,YEAR(calls[[#This Row],[Date of Call]]),YEAR(calls[[#This Row],[Date of Call]])+1)</f>
        <v>2023</v>
      </c>
      <c r="M225" t="str">
        <f>TEXT(calls[[#This Row],[Date of Call]],"DDDD")</f>
        <v>Wednesday</v>
      </c>
      <c r="N225" t="str" cm="1">
        <f t="array" ref="N22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25">
        <f>ROUND(calls[[#This Row],[Satisfaction Rating]],0)</f>
        <v>5</v>
      </c>
      <c r="P225" s="53">
        <f t="shared" si="3"/>
        <v>307</v>
      </c>
    </row>
    <row r="226" spans="2:16">
      <c r="B226" t="s">
        <v>306</v>
      </c>
      <c r="C226" t="s">
        <v>67</v>
      </c>
      <c r="D226" s="46" t="str" cm="1">
        <f t="array" ref="D226">_xlfn.XLOOKUP(C226,customers[Customer ID],customers[Gender],"")</f>
        <v>Female</v>
      </c>
      <c r="E226" s="46" cm="1">
        <f t="array" ref="E226">_xlfn.XLOOKUP(C226,customers[Customer ID],customers[Age],"")</f>
        <v>37</v>
      </c>
      <c r="F226" s="46" t="str" cm="1">
        <f t="array" ref="F226">_xlfn.XLOOKUP(C226,customers[Customer ID],customers[City],"")</f>
        <v>Cleveland</v>
      </c>
      <c r="G226">
        <v>59</v>
      </c>
      <c r="H226" s="47" t="s">
        <v>39</v>
      </c>
      <c r="I226" s="48">
        <v>45000</v>
      </c>
      <c r="J226">
        <v>64</v>
      </c>
      <c r="K226">
        <v>4</v>
      </c>
      <c r="L226">
        <f>IF(MONTH(calls[[#This Row],[Date of Call]])&lt;=6,YEAR(calls[[#This Row],[Date of Call]]),YEAR(calls[[#This Row],[Date of Call]])+1)</f>
        <v>2023</v>
      </c>
      <c r="M226" t="str">
        <f>TEXT(calls[[#This Row],[Date of Call]],"DDDD")</f>
        <v>Wednesday</v>
      </c>
      <c r="N226" t="str" cm="1">
        <f t="array" ref="N22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26">
        <f>ROUND(calls[[#This Row],[Satisfaction Rating]],0)</f>
        <v>4</v>
      </c>
      <c r="P226" s="53">
        <f t="shared" si="3"/>
        <v>307</v>
      </c>
    </row>
    <row r="227" spans="2:16">
      <c r="B227" t="s">
        <v>307</v>
      </c>
      <c r="C227" t="s">
        <v>71</v>
      </c>
      <c r="D227" s="46" t="str" cm="1">
        <f t="array" ref="D227">_xlfn.XLOOKUP(C227,customers[Customer ID],customers[Gender],"")</f>
        <v>Male</v>
      </c>
      <c r="E227" s="46" cm="1">
        <f t="array" ref="E227">_xlfn.XLOOKUP(C227,customers[Customer ID],customers[Age],"")</f>
        <v>23</v>
      </c>
      <c r="F227" s="46" t="str" cm="1">
        <f t="array" ref="F227">_xlfn.XLOOKUP(C227,customers[Customer ID],customers[City],"")</f>
        <v>Columbus</v>
      </c>
      <c r="G227">
        <v>138</v>
      </c>
      <c r="H227" s="47" t="s">
        <v>40</v>
      </c>
      <c r="I227" s="48">
        <v>45000</v>
      </c>
      <c r="J227">
        <v>44</v>
      </c>
      <c r="K227">
        <v>3.8</v>
      </c>
      <c r="L227">
        <f>IF(MONTH(calls[[#This Row],[Date of Call]])&lt;=6,YEAR(calls[[#This Row],[Date of Call]]),YEAR(calls[[#This Row],[Date of Call]])+1)</f>
        <v>2023</v>
      </c>
      <c r="M227" t="str">
        <f>TEXT(calls[[#This Row],[Date of Call]],"DDDD")</f>
        <v>Wednesday</v>
      </c>
      <c r="N227" t="str" cm="1">
        <f t="array" ref="N22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27">
        <f>ROUND(calls[[#This Row],[Satisfaction Rating]],0)</f>
        <v>4</v>
      </c>
      <c r="P227" s="53">
        <f t="shared" si="3"/>
        <v>307</v>
      </c>
    </row>
    <row r="228" spans="2:16">
      <c r="B228" t="s">
        <v>308</v>
      </c>
      <c r="C228" t="s">
        <v>60</v>
      </c>
      <c r="D228" s="46" t="str" cm="1">
        <f t="array" ref="D228">_xlfn.XLOOKUP(C228,customers[Customer ID],customers[Gender],"")</f>
        <v>Male</v>
      </c>
      <c r="E228" s="46" cm="1">
        <f t="array" ref="E228">_xlfn.XLOOKUP(C228,customers[Customer ID],customers[Age],"")</f>
        <v>36</v>
      </c>
      <c r="F228" s="46" t="str" cm="1">
        <f t="array" ref="F228">_xlfn.XLOOKUP(C228,customers[Customer ID],customers[City],"")</f>
        <v>Cincinnati</v>
      </c>
      <c r="G228">
        <v>47</v>
      </c>
      <c r="H228" s="47" t="s">
        <v>37</v>
      </c>
      <c r="I228" s="48">
        <v>45000</v>
      </c>
      <c r="J228">
        <v>120</v>
      </c>
      <c r="K228">
        <v>3.1</v>
      </c>
      <c r="L228">
        <f>IF(MONTH(calls[[#This Row],[Date of Call]])&lt;=6,YEAR(calls[[#This Row],[Date of Call]]),YEAR(calls[[#This Row],[Date of Call]])+1)</f>
        <v>2023</v>
      </c>
      <c r="M228" t="str">
        <f>TEXT(calls[[#This Row],[Date of Call]],"DDDD")</f>
        <v>Wednesday</v>
      </c>
      <c r="N228" t="str" cm="1">
        <f t="array" ref="N22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28">
        <f>ROUND(calls[[#This Row],[Satisfaction Rating]],0)</f>
        <v>3</v>
      </c>
      <c r="P228" s="53">
        <f t="shared" si="3"/>
        <v>307</v>
      </c>
    </row>
    <row r="229" spans="2:16">
      <c r="B229" t="s">
        <v>309</v>
      </c>
      <c r="C229" t="s">
        <v>71</v>
      </c>
      <c r="D229" s="46" t="str" cm="1">
        <f t="array" ref="D229">_xlfn.XLOOKUP(C229,customers[Customer ID],customers[Gender],"")</f>
        <v>Male</v>
      </c>
      <c r="E229" s="46" cm="1">
        <f t="array" ref="E229">_xlfn.XLOOKUP(C229,customers[Customer ID],customers[Age],"")</f>
        <v>23</v>
      </c>
      <c r="F229" s="46" t="str" cm="1">
        <f t="array" ref="F229">_xlfn.XLOOKUP(C229,customers[Customer ID],customers[City],"")</f>
        <v>Columbus</v>
      </c>
      <c r="G229">
        <v>74</v>
      </c>
      <c r="H229" s="47" t="s">
        <v>37</v>
      </c>
      <c r="I229" s="48">
        <v>45000</v>
      </c>
      <c r="J229">
        <v>144</v>
      </c>
      <c r="K229">
        <v>4.8</v>
      </c>
      <c r="L229">
        <f>IF(MONTH(calls[[#This Row],[Date of Call]])&lt;=6,YEAR(calls[[#This Row],[Date of Call]]),YEAR(calls[[#This Row],[Date of Call]])+1)</f>
        <v>2023</v>
      </c>
      <c r="M229" t="str">
        <f>TEXT(calls[[#This Row],[Date of Call]],"DDDD")</f>
        <v>Wednesday</v>
      </c>
      <c r="N229" t="str" cm="1">
        <f t="array" ref="N2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29">
        <f>ROUND(calls[[#This Row],[Satisfaction Rating]],0)</f>
        <v>5</v>
      </c>
      <c r="P229" s="53">
        <f t="shared" si="3"/>
        <v>307</v>
      </c>
    </row>
    <row r="230" spans="2:16">
      <c r="B230" t="s">
        <v>310</v>
      </c>
      <c r="C230" t="s">
        <v>72</v>
      </c>
      <c r="D230" s="46" t="str" cm="1">
        <f t="array" ref="D230">_xlfn.XLOOKUP(C230,customers[Customer ID],customers[Gender],"")</f>
        <v>Female</v>
      </c>
      <c r="E230" s="46" cm="1">
        <f t="array" ref="E230">_xlfn.XLOOKUP(C230,customers[Customer ID],customers[Age],"")</f>
        <v>25</v>
      </c>
      <c r="F230" s="46" t="str" cm="1">
        <f t="array" ref="F230">_xlfn.XLOOKUP(C230,customers[Customer ID],customers[City],"")</f>
        <v>Columbus</v>
      </c>
      <c r="G230">
        <v>65</v>
      </c>
      <c r="H230" s="47" t="s">
        <v>37</v>
      </c>
      <c r="I230" s="48">
        <v>45000</v>
      </c>
      <c r="J230">
        <v>87</v>
      </c>
      <c r="K230">
        <v>2.7</v>
      </c>
      <c r="L230">
        <f>IF(MONTH(calls[[#This Row],[Date of Call]])&lt;=6,YEAR(calls[[#This Row],[Date of Call]]),YEAR(calls[[#This Row],[Date of Call]])+1)</f>
        <v>2023</v>
      </c>
      <c r="M230" t="str">
        <f>TEXT(calls[[#This Row],[Date of Call]],"DDDD")</f>
        <v>Wednesday</v>
      </c>
      <c r="N230" t="str" cm="1">
        <f t="array" ref="N23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30">
        <f>ROUND(calls[[#This Row],[Satisfaction Rating]],0)</f>
        <v>3</v>
      </c>
      <c r="P230" s="53">
        <f t="shared" si="3"/>
        <v>307</v>
      </c>
    </row>
    <row r="231" spans="2:16">
      <c r="B231" t="s">
        <v>311</v>
      </c>
      <c r="C231" t="s">
        <v>61</v>
      </c>
      <c r="D231" s="46" t="str" cm="1">
        <f t="array" ref="D231">_xlfn.XLOOKUP(C231,customers[Customer ID],customers[Gender],"")</f>
        <v>Female</v>
      </c>
      <c r="E231" s="46" cm="1">
        <f t="array" ref="E231">_xlfn.XLOOKUP(C231,customers[Customer ID],customers[Age],"")</f>
        <v>30</v>
      </c>
      <c r="F231" s="46" t="str" cm="1">
        <f t="array" ref="F231">_xlfn.XLOOKUP(C231,customers[Customer ID],customers[City],"")</f>
        <v>Cincinnati</v>
      </c>
      <c r="G231">
        <v>123</v>
      </c>
      <c r="H231" s="47" t="s">
        <v>38</v>
      </c>
      <c r="I231" s="48">
        <v>45000</v>
      </c>
      <c r="J231">
        <v>36</v>
      </c>
      <c r="K231">
        <v>3.6</v>
      </c>
      <c r="L231">
        <f>IF(MONTH(calls[[#This Row],[Date of Call]])&lt;=6,YEAR(calls[[#This Row],[Date of Call]]),YEAR(calls[[#This Row],[Date of Call]])+1)</f>
        <v>2023</v>
      </c>
      <c r="M231" t="str">
        <f>TEXT(calls[[#This Row],[Date of Call]],"DDDD")</f>
        <v>Wednesday</v>
      </c>
      <c r="N231" t="str" cm="1">
        <f t="array" ref="N23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31">
        <f>ROUND(calls[[#This Row],[Satisfaction Rating]],0)</f>
        <v>4</v>
      </c>
      <c r="P231" s="53">
        <f t="shared" si="3"/>
        <v>307</v>
      </c>
    </row>
    <row r="232" spans="2:16">
      <c r="B232" t="s">
        <v>312</v>
      </c>
      <c r="C232" t="s">
        <v>72</v>
      </c>
      <c r="D232" s="46" t="str" cm="1">
        <f t="array" ref="D232">_xlfn.XLOOKUP(C232,customers[Customer ID],customers[Gender],"")</f>
        <v>Female</v>
      </c>
      <c r="E232" s="46" cm="1">
        <f t="array" ref="E232">_xlfn.XLOOKUP(C232,customers[Customer ID],customers[Age],"")</f>
        <v>25</v>
      </c>
      <c r="F232" s="46" t="str" cm="1">
        <f t="array" ref="F232">_xlfn.XLOOKUP(C232,customers[Customer ID],customers[City],"")</f>
        <v>Columbus</v>
      </c>
      <c r="G232">
        <v>90</v>
      </c>
      <c r="H232" s="47" t="s">
        <v>39</v>
      </c>
      <c r="I232" s="48">
        <v>45001</v>
      </c>
      <c r="J232">
        <v>72</v>
      </c>
      <c r="K232">
        <v>4.7</v>
      </c>
      <c r="L232">
        <f>IF(MONTH(calls[[#This Row],[Date of Call]])&lt;=6,YEAR(calls[[#This Row],[Date of Call]]),YEAR(calls[[#This Row],[Date of Call]])+1)</f>
        <v>2023</v>
      </c>
      <c r="M232" t="str">
        <f>TEXT(calls[[#This Row],[Date of Call]],"DDDD")</f>
        <v>Thursday</v>
      </c>
      <c r="N232" t="str" cm="1">
        <f t="array" ref="N23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32">
        <f>ROUND(calls[[#This Row],[Satisfaction Rating]],0)</f>
        <v>5</v>
      </c>
      <c r="P232" s="53">
        <f t="shared" si="3"/>
        <v>307</v>
      </c>
    </row>
    <row r="233" spans="2:16">
      <c r="B233" t="s">
        <v>313</v>
      </c>
      <c r="C233" t="s">
        <v>69</v>
      </c>
      <c r="D233" s="46" t="str" cm="1">
        <f t="array" ref="D233">_xlfn.XLOOKUP(C233,customers[Customer ID],customers[Gender],"")</f>
        <v>Male</v>
      </c>
      <c r="E233" s="46" cm="1">
        <f t="array" ref="E233">_xlfn.XLOOKUP(C233,customers[Customer ID],customers[Age],"")</f>
        <v>41</v>
      </c>
      <c r="F233" s="46" t="str" cm="1">
        <f t="array" ref="F233">_xlfn.XLOOKUP(C233,customers[Customer ID],customers[City],"")</f>
        <v>Columbus</v>
      </c>
      <c r="G233">
        <v>127</v>
      </c>
      <c r="H233" s="47" t="s">
        <v>40</v>
      </c>
      <c r="I233" s="48">
        <v>45001</v>
      </c>
      <c r="J233">
        <v>150</v>
      </c>
      <c r="K233">
        <v>4.4</v>
      </c>
      <c r="L233">
        <f>IF(MONTH(calls[[#This Row],[Date of Call]])&lt;=6,YEAR(calls[[#This Row],[Date of Call]]),YEAR(calls[[#This Row],[Date of Call]])+1)</f>
        <v>2023</v>
      </c>
      <c r="M233" t="str">
        <f>TEXT(calls[[#This Row],[Date of Call]],"DDDD")</f>
        <v>Thursday</v>
      </c>
      <c r="N233" t="str" cm="1">
        <f t="array" ref="N23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33">
        <f>ROUND(calls[[#This Row],[Satisfaction Rating]],0)</f>
        <v>4</v>
      </c>
      <c r="P233" s="53">
        <f t="shared" si="3"/>
        <v>307</v>
      </c>
    </row>
    <row r="234" spans="2:16">
      <c r="B234" t="s">
        <v>314</v>
      </c>
      <c r="C234" t="s">
        <v>73</v>
      </c>
      <c r="D234" s="46" t="str" cm="1">
        <f t="array" ref="D234">_xlfn.XLOOKUP(C234,customers[Customer ID],customers[Gender],"")</f>
        <v>Female</v>
      </c>
      <c r="E234" s="46" cm="1">
        <f t="array" ref="E234">_xlfn.XLOOKUP(C234,customers[Customer ID],customers[Age],"")</f>
        <v>38</v>
      </c>
      <c r="F234" s="46" t="str" cm="1">
        <f t="array" ref="F234">_xlfn.XLOOKUP(C234,customers[Customer ID],customers[City],"")</f>
        <v>Columbus</v>
      </c>
      <c r="G234">
        <v>60</v>
      </c>
      <c r="H234" s="47" t="s">
        <v>37</v>
      </c>
      <c r="I234" s="48">
        <v>45001</v>
      </c>
      <c r="J234">
        <v>68</v>
      </c>
      <c r="K234">
        <v>4.3</v>
      </c>
      <c r="L234">
        <f>IF(MONTH(calls[[#This Row],[Date of Call]])&lt;=6,YEAR(calls[[#This Row],[Date of Call]]),YEAR(calls[[#This Row],[Date of Call]])+1)</f>
        <v>2023</v>
      </c>
      <c r="M234" t="str">
        <f>TEXT(calls[[#This Row],[Date of Call]],"DDDD")</f>
        <v>Thursday</v>
      </c>
      <c r="N234" t="str" cm="1">
        <f t="array" ref="N23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34">
        <f>ROUND(calls[[#This Row],[Satisfaction Rating]],0)</f>
        <v>4</v>
      </c>
      <c r="P234" s="53">
        <f t="shared" si="3"/>
        <v>307</v>
      </c>
    </row>
    <row r="235" spans="2:16">
      <c r="B235" t="s">
        <v>315</v>
      </c>
      <c r="C235" t="s">
        <v>60</v>
      </c>
      <c r="D235" s="46" t="str" cm="1">
        <f t="array" ref="D235">_xlfn.XLOOKUP(C235,customers[Customer ID],customers[Gender],"")</f>
        <v>Male</v>
      </c>
      <c r="E235" s="46" cm="1">
        <f t="array" ref="E235">_xlfn.XLOOKUP(C235,customers[Customer ID],customers[Age],"")</f>
        <v>36</v>
      </c>
      <c r="F235" s="46" t="str" cm="1">
        <f t="array" ref="F235">_xlfn.XLOOKUP(C235,customers[Customer ID],customers[City],"")</f>
        <v>Cincinnati</v>
      </c>
      <c r="G235">
        <v>94</v>
      </c>
      <c r="H235" s="47" t="s">
        <v>40</v>
      </c>
      <c r="I235" s="48">
        <v>45001</v>
      </c>
      <c r="J235">
        <v>99</v>
      </c>
      <c r="K235">
        <v>4.9</v>
      </c>
      <c r="L235">
        <f>IF(MONTH(calls[[#This Row],[Date of Call]])&lt;=6,YEAR(calls[[#This Row],[Date of Call]]),YEAR(calls[[#This Row],[Date of Call]])+1)</f>
        <v>2023</v>
      </c>
      <c r="M235" t="str">
        <f>TEXT(calls[[#This Row],[Date of Call]],"DDDD")</f>
        <v>Thursday</v>
      </c>
      <c r="N235" t="str" cm="1">
        <f t="array" ref="N23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35">
        <f>ROUND(calls[[#This Row],[Satisfaction Rating]],0)</f>
        <v>5</v>
      </c>
      <c r="P235" s="53">
        <f t="shared" si="3"/>
        <v>307</v>
      </c>
    </row>
    <row r="236" spans="2:16">
      <c r="B236" t="s">
        <v>316</v>
      </c>
      <c r="C236" t="s">
        <v>61</v>
      </c>
      <c r="D236" s="46" t="str" cm="1">
        <f t="array" ref="D236">_xlfn.XLOOKUP(C236,customers[Customer ID],customers[Gender],"")</f>
        <v>Female</v>
      </c>
      <c r="E236" s="46" cm="1">
        <f t="array" ref="E236">_xlfn.XLOOKUP(C236,customers[Customer ID],customers[Age],"")</f>
        <v>30</v>
      </c>
      <c r="F236" s="46" t="str" cm="1">
        <f t="array" ref="F236">_xlfn.XLOOKUP(C236,customers[Customer ID],customers[City],"")</f>
        <v>Cincinnati</v>
      </c>
      <c r="G236">
        <v>54</v>
      </c>
      <c r="H236" s="47" t="s">
        <v>37</v>
      </c>
      <c r="I236" s="48">
        <v>45001</v>
      </c>
      <c r="J236">
        <v>26</v>
      </c>
      <c r="K236">
        <v>4.8</v>
      </c>
      <c r="L236">
        <f>IF(MONTH(calls[[#This Row],[Date of Call]])&lt;=6,YEAR(calls[[#This Row],[Date of Call]]),YEAR(calls[[#This Row],[Date of Call]])+1)</f>
        <v>2023</v>
      </c>
      <c r="M236" t="str">
        <f>TEXT(calls[[#This Row],[Date of Call]],"DDDD")</f>
        <v>Thursday</v>
      </c>
      <c r="N236" t="str" cm="1">
        <f t="array" ref="N23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36">
        <f>ROUND(calls[[#This Row],[Satisfaction Rating]],0)</f>
        <v>5</v>
      </c>
      <c r="P236" s="53">
        <f t="shared" si="3"/>
        <v>307</v>
      </c>
    </row>
    <row r="237" spans="2:16">
      <c r="B237" t="s">
        <v>317</v>
      </c>
      <c r="C237" t="s">
        <v>72</v>
      </c>
      <c r="D237" s="46" t="str" cm="1">
        <f t="array" ref="D237">_xlfn.XLOOKUP(C237,customers[Customer ID],customers[Gender],"")</f>
        <v>Female</v>
      </c>
      <c r="E237" s="46" cm="1">
        <f t="array" ref="E237">_xlfn.XLOOKUP(C237,customers[Customer ID],customers[Age],"")</f>
        <v>25</v>
      </c>
      <c r="F237" s="46" t="str" cm="1">
        <f t="array" ref="F237">_xlfn.XLOOKUP(C237,customers[Customer ID],customers[City],"")</f>
        <v>Columbus</v>
      </c>
      <c r="G237">
        <v>104</v>
      </c>
      <c r="H237" s="47" t="s">
        <v>37</v>
      </c>
      <c r="I237" s="48">
        <v>45001</v>
      </c>
      <c r="J237">
        <v>88</v>
      </c>
      <c r="K237">
        <v>3.2</v>
      </c>
      <c r="L237">
        <f>IF(MONTH(calls[[#This Row],[Date of Call]])&lt;=6,YEAR(calls[[#This Row],[Date of Call]]),YEAR(calls[[#This Row],[Date of Call]])+1)</f>
        <v>2023</v>
      </c>
      <c r="M237" t="str">
        <f>TEXT(calls[[#This Row],[Date of Call]],"DDDD")</f>
        <v>Thursday</v>
      </c>
      <c r="N237" t="str" cm="1">
        <f t="array" ref="N23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37">
        <f>ROUND(calls[[#This Row],[Satisfaction Rating]],0)</f>
        <v>3</v>
      </c>
      <c r="P237" s="53">
        <f t="shared" si="3"/>
        <v>307</v>
      </c>
    </row>
    <row r="238" spans="2:16">
      <c r="B238" t="s">
        <v>318</v>
      </c>
      <c r="C238" t="s">
        <v>64</v>
      </c>
      <c r="D238" s="46" t="str" cm="1">
        <f t="array" ref="D238">_xlfn.XLOOKUP(C238,customers[Customer ID],customers[Gender],"")</f>
        <v>Female</v>
      </c>
      <c r="E238" s="46" cm="1">
        <f t="array" ref="E238">_xlfn.XLOOKUP(C238,customers[Customer ID],customers[Age],"")</f>
        <v>22</v>
      </c>
      <c r="F238" s="46" t="str" cm="1">
        <f t="array" ref="F238">_xlfn.XLOOKUP(C238,customers[Customer ID],customers[City],"")</f>
        <v>Cleveland</v>
      </c>
      <c r="G238">
        <v>100</v>
      </c>
      <c r="H238" s="47" t="s">
        <v>37</v>
      </c>
      <c r="I238" s="48">
        <v>45001</v>
      </c>
      <c r="J238">
        <v>124</v>
      </c>
      <c r="K238">
        <v>3.4</v>
      </c>
      <c r="L238">
        <f>IF(MONTH(calls[[#This Row],[Date of Call]])&lt;=6,YEAR(calls[[#This Row],[Date of Call]]),YEAR(calls[[#This Row],[Date of Call]])+1)</f>
        <v>2023</v>
      </c>
      <c r="M238" t="str">
        <f>TEXT(calls[[#This Row],[Date of Call]],"DDDD")</f>
        <v>Thursday</v>
      </c>
      <c r="N238" t="str" cm="1">
        <f t="array" ref="N2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38">
        <f>ROUND(calls[[#This Row],[Satisfaction Rating]],0)</f>
        <v>3</v>
      </c>
      <c r="P238" s="53">
        <f t="shared" si="3"/>
        <v>307</v>
      </c>
    </row>
    <row r="239" spans="2:16">
      <c r="B239" t="s">
        <v>319</v>
      </c>
      <c r="C239" t="s">
        <v>71</v>
      </c>
      <c r="D239" s="46" t="str" cm="1">
        <f t="array" ref="D239">_xlfn.XLOOKUP(C239,customers[Customer ID],customers[Gender],"")</f>
        <v>Male</v>
      </c>
      <c r="E239" s="46" cm="1">
        <f t="array" ref="E239">_xlfn.XLOOKUP(C239,customers[Customer ID],customers[Age],"")</f>
        <v>23</v>
      </c>
      <c r="F239" s="46" t="str" cm="1">
        <f t="array" ref="F239">_xlfn.XLOOKUP(C239,customers[Customer ID],customers[City],"")</f>
        <v>Columbus</v>
      </c>
      <c r="G239">
        <v>84</v>
      </c>
      <c r="H239" s="47" t="s">
        <v>37</v>
      </c>
      <c r="I239" s="48">
        <v>45001</v>
      </c>
      <c r="J239">
        <v>72</v>
      </c>
      <c r="K239">
        <v>3.5</v>
      </c>
      <c r="L239">
        <f>IF(MONTH(calls[[#This Row],[Date of Call]])&lt;=6,YEAR(calls[[#This Row],[Date of Call]]),YEAR(calls[[#This Row],[Date of Call]])+1)</f>
        <v>2023</v>
      </c>
      <c r="M239" t="str">
        <f>TEXT(calls[[#This Row],[Date of Call]],"DDDD")</f>
        <v>Thursday</v>
      </c>
      <c r="N239" t="str" cm="1">
        <f t="array" ref="N2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39">
        <f>ROUND(calls[[#This Row],[Satisfaction Rating]],0)</f>
        <v>4</v>
      </c>
      <c r="P239" s="53">
        <f t="shared" si="3"/>
        <v>307</v>
      </c>
    </row>
    <row r="240" spans="2:16">
      <c r="B240" t="s">
        <v>320</v>
      </c>
      <c r="C240" t="s">
        <v>59</v>
      </c>
      <c r="D240" s="46" t="str" cm="1">
        <f t="array" ref="D240">_xlfn.XLOOKUP(C240,customers[Customer ID],customers[Gender],"")</f>
        <v>Male</v>
      </c>
      <c r="E240" s="46" cm="1">
        <f t="array" ref="E240">_xlfn.XLOOKUP(C240,customers[Customer ID],customers[Age],"")</f>
        <v>26</v>
      </c>
      <c r="F240" s="46" t="str" cm="1">
        <f t="array" ref="F240">_xlfn.XLOOKUP(C240,customers[Customer ID],customers[City],"")</f>
        <v>Cincinnati</v>
      </c>
      <c r="G240">
        <v>92</v>
      </c>
      <c r="H240" s="47" t="s">
        <v>36</v>
      </c>
      <c r="I240" s="48">
        <v>45002</v>
      </c>
      <c r="J240">
        <v>125</v>
      </c>
      <c r="K240">
        <v>4.9</v>
      </c>
      <c r="L240">
        <f>IF(MONTH(calls[[#This Row],[Date of Call]])&lt;=6,YEAR(calls[[#This Row],[Date of Call]]),YEAR(calls[[#This Row],[Date of Call]])+1)</f>
        <v>2023</v>
      </c>
      <c r="M240" t="str">
        <f>TEXT(calls[[#This Row],[Date of Call]],"DDDD")</f>
        <v>Friday</v>
      </c>
      <c r="N240" t="str" cm="1">
        <f t="array" ref="N2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40">
        <f>ROUND(calls[[#This Row],[Satisfaction Rating]],0)</f>
        <v>5</v>
      </c>
      <c r="P240" s="53">
        <f t="shared" si="3"/>
        <v>307</v>
      </c>
    </row>
    <row r="241" spans="2:16">
      <c r="B241" t="s">
        <v>321</v>
      </c>
      <c r="C241" t="s">
        <v>66</v>
      </c>
      <c r="D241" s="46" t="str" cm="1">
        <f t="array" ref="D241">_xlfn.XLOOKUP(C241,customers[Customer ID],customers[Gender],"")</f>
        <v>Female</v>
      </c>
      <c r="E241" s="46" cm="1">
        <f t="array" ref="E241">_xlfn.XLOOKUP(C241,customers[Customer ID],customers[Age],"")</f>
        <v>30</v>
      </c>
      <c r="F241" s="46" t="str" cm="1">
        <f t="array" ref="F241">_xlfn.XLOOKUP(C241,customers[Customer ID],customers[City],"")</f>
        <v>Cleveland</v>
      </c>
      <c r="G241">
        <v>64</v>
      </c>
      <c r="H241" s="47" t="s">
        <v>40</v>
      </c>
      <c r="I241" s="48">
        <v>45002</v>
      </c>
      <c r="J241">
        <v>22</v>
      </c>
      <c r="K241">
        <v>4.1</v>
      </c>
      <c r="L241">
        <f>IF(MONTH(calls[[#This Row],[Date of Call]])&lt;=6,YEAR(calls[[#This Row],[Date of Call]]),YEAR(calls[[#This Row],[Date of Call]])+1)</f>
        <v>2023</v>
      </c>
      <c r="M241" t="str">
        <f>TEXT(calls[[#This Row],[Date of Call]],"DDDD")</f>
        <v>Friday</v>
      </c>
      <c r="N241" t="str" cm="1">
        <f t="array" ref="N2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41">
        <f>ROUND(calls[[#This Row],[Satisfaction Rating]],0)</f>
        <v>4</v>
      </c>
      <c r="P241" s="53">
        <f t="shared" si="3"/>
        <v>307</v>
      </c>
    </row>
    <row r="242" spans="2:16">
      <c r="B242" t="s">
        <v>322</v>
      </c>
      <c r="C242" t="s">
        <v>70</v>
      </c>
      <c r="D242" s="46" t="str" cm="1">
        <f t="array" ref="D242">_xlfn.XLOOKUP(C242,customers[Customer ID],customers[Gender],"")</f>
        <v>Male</v>
      </c>
      <c r="E242" s="46" cm="1">
        <f t="array" ref="E242">_xlfn.XLOOKUP(C242,customers[Customer ID],customers[Age],"")</f>
        <v>37</v>
      </c>
      <c r="F242" s="46" t="str" cm="1">
        <f t="array" ref="F242">_xlfn.XLOOKUP(C242,customers[Customer ID],customers[City],"")</f>
        <v>Columbus</v>
      </c>
      <c r="G242">
        <v>89</v>
      </c>
      <c r="H242" s="47" t="s">
        <v>39</v>
      </c>
      <c r="I242" s="48">
        <v>45003</v>
      </c>
      <c r="J242">
        <v>70</v>
      </c>
      <c r="K242">
        <v>4.9</v>
      </c>
      <c r="L242">
        <f>IF(MONTH(calls[[#This Row],[Date of Call]])&lt;=6,YEAR(calls[[#This Row],[Date of Call]]),YEAR(calls[[#This Row],[Date of Call]])+1)</f>
        <v>2023</v>
      </c>
      <c r="M242" t="str">
        <f>TEXT(calls[[#This Row],[Date of Call]],"DDDD")</f>
        <v>Saturday</v>
      </c>
      <c r="N242" t="str" cm="1">
        <f t="array" ref="N2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42">
        <f>ROUND(calls[[#This Row],[Satisfaction Rating]],0)</f>
        <v>5</v>
      </c>
      <c r="P242" s="53">
        <f t="shared" si="3"/>
        <v>307</v>
      </c>
    </row>
    <row r="243" spans="2:16">
      <c r="B243" t="s">
        <v>323</v>
      </c>
      <c r="C243" t="s">
        <v>68</v>
      </c>
      <c r="D243" s="46" t="str" cm="1">
        <f t="array" ref="D243">_xlfn.XLOOKUP(C243,customers[Customer ID],customers[Gender],"")</f>
        <v>Female</v>
      </c>
      <c r="E243" s="46" cm="1">
        <f t="array" ref="E243">_xlfn.XLOOKUP(C243,customers[Customer ID],customers[Age],"")</f>
        <v>43</v>
      </c>
      <c r="F243" s="46" t="str" cm="1">
        <f t="array" ref="F243">_xlfn.XLOOKUP(C243,customers[Customer ID],customers[City],"")</f>
        <v>Cleveland</v>
      </c>
      <c r="G243">
        <v>40</v>
      </c>
      <c r="H243" s="47" t="s">
        <v>37</v>
      </c>
      <c r="I243" s="48">
        <v>45003</v>
      </c>
      <c r="J243">
        <v>24</v>
      </c>
      <c r="K243">
        <v>4.3</v>
      </c>
      <c r="L243">
        <f>IF(MONTH(calls[[#This Row],[Date of Call]])&lt;=6,YEAR(calls[[#This Row],[Date of Call]]),YEAR(calls[[#This Row],[Date of Call]])+1)</f>
        <v>2023</v>
      </c>
      <c r="M243" t="str">
        <f>TEXT(calls[[#This Row],[Date of Call]],"DDDD")</f>
        <v>Saturday</v>
      </c>
      <c r="N243" t="str" cm="1">
        <f t="array" ref="N24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43">
        <f>ROUND(calls[[#This Row],[Satisfaction Rating]],0)</f>
        <v>4</v>
      </c>
      <c r="P243" s="53">
        <f t="shared" si="3"/>
        <v>307</v>
      </c>
    </row>
    <row r="244" spans="2:16">
      <c r="B244" t="s">
        <v>324</v>
      </c>
      <c r="C244" t="s">
        <v>67</v>
      </c>
      <c r="D244" s="46" t="str" cm="1">
        <f t="array" ref="D244">_xlfn.XLOOKUP(C244,customers[Customer ID],customers[Gender],"")</f>
        <v>Female</v>
      </c>
      <c r="E244" s="46" cm="1">
        <f t="array" ref="E244">_xlfn.XLOOKUP(C244,customers[Customer ID],customers[Age],"")</f>
        <v>37</v>
      </c>
      <c r="F244" s="46" t="str" cm="1">
        <f t="array" ref="F244">_xlfn.XLOOKUP(C244,customers[Customer ID],customers[City],"")</f>
        <v>Cleveland</v>
      </c>
      <c r="G244">
        <v>75</v>
      </c>
      <c r="H244" s="47" t="s">
        <v>38</v>
      </c>
      <c r="I244" s="48">
        <v>45003</v>
      </c>
      <c r="J244">
        <v>32</v>
      </c>
      <c r="K244">
        <v>4.1</v>
      </c>
      <c r="L244">
        <f>IF(MONTH(calls[[#This Row],[Date of Call]])&lt;=6,YEAR(calls[[#This Row],[Date of Call]]),YEAR(calls[[#This Row],[Date of Call]])+1)</f>
        <v>2023</v>
      </c>
      <c r="M244" t="str">
        <f>TEXT(calls[[#This Row],[Date of Call]],"DDDD")</f>
        <v>Saturday</v>
      </c>
      <c r="N244" t="str" cm="1">
        <f t="array" ref="N2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44">
        <f>ROUND(calls[[#This Row],[Satisfaction Rating]],0)</f>
        <v>4</v>
      </c>
      <c r="P244" s="53">
        <f t="shared" si="3"/>
        <v>307</v>
      </c>
    </row>
    <row r="245" spans="2:16">
      <c r="B245" t="s">
        <v>325</v>
      </c>
      <c r="C245" t="s">
        <v>69</v>
      </c>
      <c r="D245" s="46" t="str" cm="1">
        <f t="array" ref="D245">_xlfn.XLOOKUP(C245,customers[Customer ID],customers[Gender],"")</f>
        <v>Male</v>
      </c>
      <c r="E245" s="46" cm="1">
        <f t="array" ref="E245">_xlfn.XLOOKUP(C245,customers[Customer ID],customers[Age],"")</f>
        <v>41</v>
      </c>
      <c r="F245" s="46" t="str" cm="1">
        <f t="array" ref="F245">_xlfn.XLOOKUP(C245,customers[Customer ID],customers[City],"")</f>
        <v>Columbus</v>
      </c>
      <c r="G245">
        <v>106</v>
      </c>
      <c r="H245" s="47" t="s">
        <v>36</v>
      </c>
      <c r="I245" s="48">
        <v>45003</v>
      </c>
      <c r="J245">
        <v>112</v>
      </c>
      <c r="K245">
        <v>4.4</v>
      </c>
      <c r="L245">
        <f>IF(MONTH(calls[[#This Row],[Date of Call]])&lt;=6,YEAR(calls[[#This Row],[Date of Call]]),YEAR(calls[[#This Row],[Date of Call]])+1)</f>
        <v>2023</v>
      </c>
      <c r="M245" t="str">
        <f>TEXT(calls[[#This Row],[Date of Call]],"DDDD")</f>
        <v>Saturday</v>
      </c>
      <c r="N245" t="str" cm="1">
        <f t="array" ref="N2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45">
        <f>ROUND(calls[[#This Row],[Satisfaction Rating]],0)</f>
        <v>4</v>
      </c>
      <c r="P245" s="53">
        <f t="shared" si="3"/>
        <v>307</v>
      </c>
    </row>
    <row r="246" spans="2:16">
      <c r="B246" t="s">
        <v>326</v>
      </c>
      <c r="C246" t="s">
        <v>66</v>
      </c>
      <c r="D246" s="46" t="str" cm="1">
        <f t="array" ref="D246">_xlfn.XLOOKUP(C246,customers[Customer ID],customers[Gender],"")</f>
        <v>Female</v>
      </c>
      <c r="E246" s="46" cm="1">
        <f t="array" ref="E246">_xlfn.XLOOKUP(C246,customers[Customer ID],customers[Age],"")</f>
        <v>30</v>
      </c>
      <c r="F246" s="46" t="str" cm="1">
        <f t="array" ref="F246">_xlfn.XLOOKUP(C246,customers[Customer ID],customers[City],"")</f>
        <v>Cleveland</v>
      </c>
      <c r="G246">
        <v>58</v>
      </c>
      <c r="H246" s="47" t="s">
        <v>37</v>
      </c>
      <c r="I246" s="48">
        <v>45004</v>
      </c>
      <c r="J246">
        <v>43</v>
      </c>
      <c r="K246">
        <v>4.5</v>
      </c>
      <c r="L246">
        <f>IF(MONTH(calls[[#This Row],[Date of Call]])&lt;=6,YEAR(calls[[#This Row],[Date of Call]]),YEAR(calls[[#This Row],[Date of Call]])+1)</f>
        <v>2023</v>
      </c>
      <c r="M246" t="str">
        <f>TEXT(calls[[#This Row],[Date of Call]],"DDDD")</f>
        <v>Sunday</v>
      </c>
      <c r="N246" t="str" cm="1">
        <f t="array" ref="N24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46">
        <f>ROUND(calls[[#This Row],[Satisfaction Rating]],0)</f>
        <v>5</v>
      </c>
      <c r="P246" s="53">
        <f t="shared" si="3"/>
        <v>307</v>
      </c>
    </row>
    <row r="247" spans="2:16">
      <c r="B247" t="s">
        <v>327</v>
      </c>
      <c r="C247" t="s">
        <v>71</v>
      </c>
      <c r="D247" s="46" t="str" cm="1">
        <f t="array" ref="D247">_xlfn.XLOOKUP(C247,customers[Customer ID],customers[Gender],"")</f>
        <v>Male</v>
      </c>
      <c r="E247" s="46" cm="1">
        <f t="array" ref="E247">_xlfn.XLOOKUP(C247,customers[Customer ID],customers[Age],"")</f>
        <v>23</v>
      </c>
      <c r="F247" s="46" t="str" cm="1">
        <f t="array" ref="F247">_xlfn.XLOOKUP(C247,customers[Customer ID],customers[City],"")</f>
        <v>Columbus</v>
      </c>
      <c r="G247">
        <v>84</v>
      </c>
      <c r="H247" s="47" t="s">
        <v>36</v>
      </c>
      <c r="I247" s="48">
        <v>45004</v>
      </c>
      <c r="J247">
        <v>22</v>
      </c>
      <c r="K247">
        <v>3.5</v>
      </c>
      <c r="L247">
        <f>IF(MONTH(calls[[#This Row],[Date of Call]])&lt;=6,YEAR(calls[[#This Row],[Date of Call]]),YEAR(calls[[#This Row],[Date of Call]])+1)</f>
        <v>2023</v>
      </c>
      <c r="M247" t="str">
        <f>TEXT(calls[[#This Row],[Date of Call]],"DDDD")</f>
        <v>Sunday</v>
      </c>
      <c r="N247" t="str" cm="1">
        <f t="array" ref="N24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47">
        <f>ROUND(calls[[#This Row],[Satisfaction Rating]],0)</f>
        <v>4</v>
      </c>
      <c r="P247" s="53">
        <f t="shared" si="3"/>
        <v>307</v>
      </c>
    </row>
    <row r="248" spans="2:16">
      <c r="B248" t="s">
        <v>328</v>
      </c>
      <c r="C248" t="s">
        <v>72</v>
      </c>
      <c r="D248" s="46" t="str" cm="1">
        <f t="array" ref="D248">_xlfn.XLOOKUP(C248,customers[Customer ID],customers[Gender],"")</f>
        <v>Female</v>
      </c>
      <c r="E248" s="46" cm="1">
        <f t="array" ref="E248">_xlfn.XLOOKUP(C248,customers[Customer ID],customers[Age],"")</f>
        <v>25</v>
      </c>
      <c r="F248" s="46" t="str" cm="1">
        <f t="array" ref="F248">_xlfn.XLOOKUP(C248,customers[Customer ID],customers[City],"")</f>
        <v>Columbus</v>
      </c>
      <c r="G248">
        <v>140</v>
      </c>
      <c r="H248" s="47" t="s">
        <v>36</v>
      </c>
      <c r="I248" s="48">
        <v>45004</v>
      </c>
      <c r="J248">
        <v>93</v>
      </c>
      <c r="K248">
        <v>4.4</v>
      </c>
      <c r="L248">
        <f>IF(MONTH(calls[[#This Row],[Date of Call]])&lt;=6,YEAR(calls[[#This Row],[Date of Call]]),YEAR(calls[[#This Row],[Date of Call]])+1)</f>
        <v>2023</v>
      </c>
      <c r="M248" t="str">
        <f>TEXT(calls[[#This Row],[Date of Call]],"DDDD")</f>
        <v>Sunday</v>
      </c>
      <c r="N248" t="str" cm="1">
        <f t="array" ref="N24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48">
        <f>ROUND(calls[[#This Row],[Satisfaction Rating]],0)</f>
        <v>4</v>
      </c>
      <c r="P248" s="53">
        <f t="shared" si="3"/>
        <v>307</v>
      </c>
    </row>
    <row r="249" spans="2:16">
      <c r="B249" t="s">
        <v>329</v>
      </c>
      <c r="C249" t="s">
        <v>66</v>
      </c>
      <c r="D249" s="46" t="str" cm="1">
        <f t="array" ref="D249">_xlfn.XLOOKUP(C249,customers[Customer ID],customers[Gender],"")</f>
        <v>Female</v>
      </c>
      <c r="E249" s="46" cm="1">
        <f t="array" ref="E249">_xlfn.XLOOKUP(C249,customers[Customer ID],customers[Age],"")</f>
        <v>30</v>
      </c>
      <c r="F249" s="46" t="str" cm="1">
        <f t="array" ref="F249">_xlfn.XLOOKUP(C249,customers[Customer ID],customers[City],"")</f>
        <v>Cleveland</v>
      </c>
      <c r="G249">
        <v>67</v>
      </c>
      <c r="H249" s="47" t="s">
        <v>36</v>
      </c>
      <c r="I249" s="48">
        <v>45004</v>
      </c>
      <c r="J249">
        <v>45</v>
      </c>
      <c r="K249">
        <v>3.5</v>
      </c>
      <c r="L249">
        <f>IF(MONTH(calls[[#This Row],[Date of Call]])&lt;=6,YEAR(calls[[#This Row],[Date of Call]]),YEAR(calls[[#This Row],[Date of Call]])+1)</f>
        <v>2023</v>
      </c>
      <c r="M249" t="str">
        <f>TEXT(calls[[#This Row],[Date of Call]],"DDDD")</f>
        <v>Sunday</v>
      </c>
      <c r="N249" t="str" cm="1">
        <f t="array" ref="N24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49">
        <f>ROUND(calls[[#This Row],[Satisfaction Rating]],0)</f>
        <v>4</v>
      </c>
      <c r="P249" s="53">
        <f t="shared" si="3"/>
        <v>307</v>
      </c>
    </row>
    <row r="250" spans="2:16">
      <c r="B250" t="s">
        <v>330</v>
      </c>
      <c r="C250" t="s">
        <v>60</v>
      </c>
      <c r="D250" s="46" t="str" cm="1">
        <f t="array" ref="D250">_xlfn.XLOOKUP(C250,customers[Customer ID],customers[Gender],"")</f>
        <v>Male</v>
      </c>
      <c r="E250" s="46" cm="1">
        <f t="array" ref="E250">_xlfn.XLOOKUP(C250,customers[Customer ID],customers[Age],"")</f>
        <v>36</v>
      </c>
      <c r="F250" s="46" t="str" cm="1">
        <f t="array" ref="F250">_xlfn.XLOOKUP(C250,customers[Customer ID],customers[City],"")</f>
        <v>Cincinnati</v>
      </c>
      <c r="G250">
        <v>126</v>
      </c>
      <c r="H250" s="47" t="s">
        <v>36</v>
      </c>
      <c r="I250" s="48">
        <v>45005</v>
      </c>
      <c r="J250">
        <v>96</v>
      </c>
      <c r="K250">
        <v>3.8</v>
      </c>
      <c r="L250">
        <f>IF(MONTH(calls[[#This Row],[Date of Call]])&lt;=6,YEAR(calls[[#This Row],[Date of Call]]),YEAR(calls[[#This Row],[Date of Call]])+1)</f>
        <v>2023</v>
      </c>
      <c r="M250" t="str">
        <f>TEXT(calls[[#This Row],[Date of Call]],"DDDD")</f>
        <v>Monday</v>
      </c>
      <c r="N250" t="str" cm="1">
        <f t="array" ref="N25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50">
        <f>ROUND(calls[[#This Row],[Satisfaction Rating]],0)</f>
        <v>4</v>
      </c>
      <c r="P250" s="53">
        <f t="shared" si="3"/>
        <v>307</v>
      </c>
    </row>
    <row r="251" spans="2:16">
      <c r="B251" t="s">
        <v>331</v>
      </c>
      <c r="C251" t="s">
        <v>60</v>
      </c>
      <c r="D251" s="46" t="str" cm="1">
        <f t="array" ref="D251">_xlfn.XLOOKUP(C251,customers[Customer ID],customers[Gender],"")</f>
        <v>Male</v>
      </c>
      <c r="E251" s="46" cm="1">
        <f t="array" ref="E251">_xlfn.XLOOKUP(C251,customers[Customer ID],customers[Age],"")</f>
        <v>36</v>
      </c>
      <c r="F251" s="46" t="str" cm="1">
        <f t="array" ref="F251">_xlfn.XLOOKUP(C251,customers[Customer ID],customers[City],"")</f>
        <v>Cincinnati</v>
      </c>
      <c r="G251">
        <v>89</v>
      </c>
      <c r="H251" s="47" t="s">
        <v>37</v>
      </c>
      <c r="I251" s="48">
        <v>45005</v>
      </c>
      <c r="J251">
        <v>96</v>
      </c>
      <c r="K251">
        <v>3.3</v>
      </c>
      <c r="L251">
        <f>IF(MONTH(calls[[#This Row],[Date of Call]])&lt;=6,YEAR(calls[[#This Row],[Date of Call]]),YEAR(calls[[#This Row],[Date of Call]])+1)</f>
        <v>2023</v>
      </c>
      <c r="M251" t="str">
        <f>TEXT(calls[[#This Row],[Date of Call]],"DDDD")</f>
        <v>Monday</v>
      </c>
      <c r="N251" t="str" cm="1">
        <f t="array" ref="N25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51">
        <f>ROUND(calls[[#This Row],[Satisfaction Rating]],0)</f>
        <v>3</v>
      </c>
      <c r="P251" s="53">
        <f t="shared" si="3"/>
        <v>307</v>
      </c>
    </row>
    <row r="252" spans="2:16">
      <c r="B252" t="s">
        <v>332</v>
      </c>
      <c r="C252" t="s">
        <v>70</v>
      </c>
      <c r="D252" s="46" t="str" cm="1">
        <f t="array" ref="D252">_xlfn.XLOOKUP(C252,customers[Customer ID],customers[Gender],"")</f>
        <v>Male</v>
      </c>
      <c r="E252" s="46" cm="1">
        <f t="array" ref="E252">_xlfn.XLOOKUP(C252,customers[Customer ID],customers[Age],"")</f>
        <v>37</v>
      </c>
      <c r="F252" s="46" t="str" cm="1">
        <f t="array" ref="F252">_xlfn.XLOOKUP(C252,customers[Customer ID],customers[City],"")</f>
        <v>Columbus</v>
      </c>
      <c r="G252">
        <v>56</v>
      </c>
      <c r="H252" s="47" t="s">
        <v>40</v>
      </c>
      <c r="I252" s="48">
        <v>45005</v>
      </c>
      <c r="J252">
        <v>31</v>
      </c>
      <c r="K252">
        <v>4.4</v>
      </c>
      <c r="L252">
        <f>IF(MONTH(calls[[#This Row],[Date of Call]])&lt;=6,YEAR(calls[[#This Row],[Date of Call]]),YEAR(calls[[#This Row],[Date of Call]])+1)</f>
        <v>2023</v>
      </c>
      <c r="M252" t="str">
        <f>TEXT(calls[[#This Row],[Date of Call]],"DDDD")</f>
        <v>Monday</v>
      </c>
      <c r="N252" t="str" cm="1">
        <f t="array" ref="N25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52">
        <f>ROUND(calls[[#This Row],[Satisfaction Rating]],0)</f>
        <v>4</v>
      </c>
      <c r="P252" s="53">
        <f t="shared" si="3"/>
        <v>307</v>
      </c>
    </row>
    <row r="253" spans="2:16">
      <c r="B253" t="s">
        <v>333</v>
      </c>
      <c r="C253" t="s">
        <v>61</v>
      </c>
      <c r="D253" s="46" t="str" cm="1">
        <f t="array" ref="D253">_xlfn.XLOOKUP(C253,customers[Customer ID],customers[Gender],"")</f>
        <v>Female</v>
      </c>
      <c r="E253" s="46" cm="1">
        <f t="array" ref="E253">_xlfn.XLOOKUP(C253,customers[Customer ID],customers[Age],"")</f>
        <v>30</v>
      </c>
      <c r="F253" s="46" t="str" cm="1">
        <f t="array" ref="F253">_xlfn.XLOOKUP(C253,customers[Customer ID],customers[City],"")</f>
        <v>Cincinnati</v>
      </c>
      <c r="G253">
        <v>48</v>
      </c>
      <c r="H253" s="47" t="s">
        <v>37</v>
      </c>
      <c r="I253" s="48">
        <v>45005</v>
      </c>
      <c r="J253">
        <v>200</v>
      </c>
      <c r="K253">
        <v>3.9</v>
      </c>
      <c r="L253">
        <f>IF(MONTH(calls[[#This Row],[Date of Call]])&lt;=6,YEAR(calls[[#This Row],[Date of Call]]),YEAR(calls[[#This Row],[Date of Call]])+1)</f>
        <v>2023</v>
      </c>
      <c r="M253" t="str">
        <f>TEXT(calls[[#This Row],[Date of Call]],"DDDD")</f>
        <v>Monday</v>
      </c>
      <c r="N253" t="str" cm="1">
        <f t="array" ref="N25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53">
        <f>ROUND(calls[[#This Row],[Satisfaction Rating]],0)</f>
        <v>4</v>
      </c>
      <c r="P253" s="53">
        <f t="shared" si="3"/>
        <v>307</v>
      </c>
    </row>
    <row r="254" spans="2:16">
      <c r="B254" t="s">
        <v>334</v>
      </c>
      <c r="C254" t="s">
        <v>60</v>
      </c>
      <c r="D254" s="46" t="str" cm="1">
        <f t="array" ref="D254">_xlfn.XLOOKUP(C254,customers[Customer ID],customers[Gender],"")</f>
        <v>Male</v>
      </c>
      <c r="E254" s="46" cm="1">
        <f t="array" ref="E254">_xlfn.XLOOKUP(C254,customers[Customer ID],customers[Age],"")</f>
        <v>36</v>
      </c>
      <c r="F254" s="46" t="str" cm="1">
        <f t="array" ref="F254">_xlfn.XLOOKUP(C254,customers[Customer ID],customers[City],"")</f>
        <v>Cincinnati</v>
      </c>
      <c r="G254">
        <v>55</v>
      </c>
      <c r="H254" s="47" t="s">
        <v>40</v>
      </c>
      <c r="I254" s="48">
        <v>45005</v>
      </c>
      <c r="J254">
        <v>99</v>
      </c>
      <c r="K254">
        <v>2.7</v>
      </c>
      <c r="L254">
        <f>IF(MONTH(calls[[#This Row],[Date of Call]])&lt;=6,YEAR(calls[[#This Row],[Date of Call]]),YEAR(calls[[#This Row],[Date of Call]])+1)</f>
        <v>2023</v>
      </c>
      <c r="M254" t="str">
        <f>TEXT(calls[[#This Row],[Date of Call]],"DDDD")</f>
        <v>Monday</v>
      </c>
      <c r="N254" t="str" cm="1">
        <f t="array" ref="N25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54">
        <f>ROUND(calls[[#This Row],[Satisfaction Rating]],0)</f>
        <v>3</v>
      </c>
      <c r="P254" s="53">
        <f t="shared" si="3"/>
        <v>307</v>
      </c>
    </row>
    <row r="255" spans="2:16">
      <c r="B255" t="s">
        <v>335</v>
      </c>
      <c r="C255" t="s">
        <v>73</v>
      </c>
      <c r="D255" s="46" t="str" cm="1">
        <f t="array" ref="D255">_xlfn.XLOOKUP(C255,customers[Customer ID],customers[Gender],"")</f>
        <v>Female</v>
      </c>
      <c r="E255" s="46" cm="1">
        <f t="array" ref="E255">_xlfn.XLOOKUP(C255,customers[Customer ID],customers[Age],"")</f>
        <v>38</v>
      </c>
      <c r="F255" s="46" t="str" cm="1">
        <f t="array" ref="F255">_xlfn.XLOOKUP(C255,customers[Customer ID],customers[City],"")</f>
        <v>Columbus</v>
      </c>
      <c r="G255">
        <v>88</v>
      </c>
      <c r="H255" s="47" t="s">
        <v>38</v>
      </c>
      <c r="I255" s="48">
        <v>45005</v>
      </c>
      <c r="J255">
        <v>144</v>
      </c>
      <c r="K255">
        <v>2.9</v>
      </c>
      <c r="L255">
        <f>IF(MONTH(calls[[#This Row],[Date of Call]])&lt;=6,YEAR(calls[[#This Row],[Date of Call]]),YEAR(calls[[#This Row],[Date of Call]])+1)</f>
        <v>2023</v>
      </c>
      <c r="M255" t="str">
        <f>TEXT(calls[[#This Row],[Date of Call]],"DDDD")</f>
        <v>Monday</v>
      </c>
      <c r="N255" t="str" cm="1">
        <f t="array" ref="N2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55">
        <f>ROUND(calls[[#This Row],[Satisfaction Rating]],0)</f>
        <v>3</v>
      </c>
      <c r="P255" s="53">
        <f t="shared" si="3"/>
        <v>307</v>
      </c>
    </row>
    <row r="256" spans="2:16">
      <c r="B256" t="s">
        <v>336</v>
      </c>
      <c r="C256" t="s">
        <v>70</v>
      </c>
      <c r="D256" s="46" t="str" cm="1">
        <f t="array" ref="D256">_xlfn.XLOOKUP(C256,customers[Customer ID],customers[Gender],"")</f>
        <v>Male</v>
      </c>
      <c r="E256" s="46" cm="1">
        <f t="array" ref="E256">_xlfn.XLOOKUP(C256,customers[Customer ID],customers[Age],"")</f>
        <v>37</v>
      </c>
      <c r="F256" s="46" t="str" cm="1">
        <f t="array" ref="F256">_xlfn.XLOOKUP(C256,customers[Customer ID],customers[City],"")</f>
        <v>Columbus</v>
      </c>
      <c r="G256">
        <v>102</v>
      </c>
      <c r="H256" s="47" t="s">
        <v>36</v>
      </c>
      <c r="I256" s="48">
        <v>45006</v>
      </c>
      <c r="J256">
        <v>81</v>
      </c>
      <c r="K256">
        <v>4</v>
      </c>
      <c r="L256">
        <f>IF(MONTH(calls[[#This Row],[Date of Call]])&lt;=6,YEAR(calls[[#This Row],[Date of Call]]),YEAR(calls[[#This Row],[Date of Call]])+1)</f>
        <v>2023</v>
      </c>
      <c r="M256" t="str">
        <f>TEXT(calls[[#This Row],[Date of Call]],"DDDD")</f>
        <v>Tuesday</v>
      </c>
      <c r="N256" t="str" cm="1">
        <f t="array" ref="N2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56">
        <f>ROUND(calls[[#This Row],[Satisfaction Rating]],0)</f>
        <v>4</v>
      </c>
      <c r="P256" s="53">
        <f t="shared" si="3"/>
        <v>307</v>
      </c>
    </row>
    <row r="257" spans="2:16">
      <c r="B257" t="s">
        <v>337</v>
      </c>
      <c r="C257" t="s">
        <v>73</v>
      </c>
      <c r="D257" s="46" t="str" cm="1">
        <f t="array" ref="D257">_xlfn.XLOOKUP(C257,customers[Customer ID],customers[Gender],"")</f>
        <v>Female</v>
      </c>
      <c r="E257" s="46" cm="1">
        <f t="array" ref="E257">_xlfn.XLOOKUP(C257,customers[Customer ID],customers[Age],"")</f>
        <v>38</v>
      </c>
      <c r="F257" s="46" t="str" cm="1">
        <f t="array" ref="F257">_xlfn.XLOOKUP(C257,customers[Customer ID],customers[City],"")</f>
        <v>Columbus</v>
      </c>
      <c r="G257">
        <v>155</v>
      </c>
      <c r="H257" s="47" t="s">
        <v>38</v>
      </c>
      <c r="I257" s="48">
        <v>45006</v>
      </c>
      <c r="J257">
        <v>70</v>
      </c>
      <c r="K257">
        <v>4.4</v>
      </c>
      <c r="L257">
        <f>IF(MONTH(calls[[#This Row],[Date of Call]])&lt;=6,YEAR(calls[[#This Row],[Date of Call]]),YEAR(calls[[#This Row],[Date of Call]])+1)</f>
        <v>2023</v>
      </c>
      <c r="M257" t="str">
        <f>TEXT(calls[[#This Row],[Date of Call]],"DDDD")</f>
        <v>Tuesday</v>
      </c>
      <c r="N257" t="str" cm="1">
        <f t="array" ref="N25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57">
        <f>ROUND(calls[[#This Row],[Satisfaction Rating]],0)</f>
        <v>4</v>
      </c>
      <c r="P257" s="53">
        <f t="shared" si="3"/>
        <v>307</v>
      </c>
    </row>
    <row r="258" spans="2:16">
      <c r="B258" t="s">
        <v>338</v>
      </c>
      <c r="C258" t="s">
        <v>60</v>
      </c>
      <c r="D258" s="46" t="str" cm="1">
        <f t="array" ref="D258">_xlfn.XLOOKUP(C258,customers[Customer ID],customers[Gender],"")</f>
        <v>Male</v>
      </c>
      <c r="E258" s="46" cm="1">
        <f t="array" ref="E258">_xlfn.XLOOKUP(C258,customers[Customer ID],customers[Age],"")</f>
        <v>36</v>
      </c>
      <c r="F258" s="46" t="str" cm="1">
        <f t="array" ref="F258">_xlfn.XLOOKUP(C258,customers[Customer ID],customers[City],"")</f>
        <v>Cincinnati</v>
      </c>
      <c r="G258">
        <v>63</v>
      </c>
      <c r="H258" s="47" t="s">
        <v>38</v>
      </c>
      <c r="I258" s="48">
        <v>45006</v>
      </c>
      <c r="J258">
        <v>148</v>
      </c>
      <c r="K258">
        <v>5</v>
      </c>
      <c r="L258">
        <f>IF(MONTH(calls[[#This Row],[Date of Call]])&lt;=6,YEAR(calls[[#This Row],[Date of Call]]),YEAR(calls[[#This Row],[Date of Call]])+1)</f>
        <v>2023</v>
      </c>
      <c r="M258" t="str">
        <f>TEXT(calls[[#This Row],[Date of Call]],"DDDD")</f>
        <v>Tuesday</v>
      </c>
      <c r="N258" t="str" cm="1">
        <f t="array" ref="N2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58">
        <f>ROUND(calls[[#This Row],[Satisfaction Rating]],0)</f>
        <v>5</v>
      </c>
      <c r="P258" s="53">
        <f t="shared" si="3"/>
        <v>307</v>
      </c>
    </row>
    <row r="259" spans="2:16">
      <c r="B259" t="s">
        <v>339</v>
      </c>
      <c r="C259" t="s">
        <v>64</v>
      </c>
      <c r="D259" s="46" t="str" cm="1">
        <f t="array" ref="D259">_xlfn.XLOOKUP(C259,customers[Customer ID],customers[Gender],"")</f>
        <v>Female</v>
      </c>
      <c r="E259" s="46" cm="1">
        <f t="array" ref="E259">_xlfn.XLOOKUP(C259,customers[Customer ID],customers[Age],"")</f>
        <v>22</v>
      </c>
      <c r="F259" s="46" t="str" cm="1">
        <f t="array" ref="F259">_xlfn.XLOOKUP(C259,customers[Customer ID],customers[City],"")</f>
        <v>Cleveland</v>
      </c>
      <c r="G259">
        <v>59</v>
      </c>
      <c r="H259" s="47" t="s">
        <v>36</v>
      </c>
      <c r="I259" s="48">
        <v>45006</v>
      </c>
      <c r="J259">
        <v>215</v>
      </c>
      <c r="K259">
        <v>4.1</v>
      </c>
      <c r="L259">
        <f>IF(MONTH(calls[[#This Row],[Date of Call]])&lt;=6,YEAR(calls[[#This Row],[Date of Call]]),YEAR(calls[[#This Row],[Date of Call]])+1)</f>
        <v>2023</v>
      </c>
      <c r="M259" t="str">
        <f>TEXT(calls[[#This Row],[Date of Call]],"DDDD")</f>
        <v>Tuesday</v>
      </c>
      <c r="N259" t="str" cm="1">
        <f t="array" ref="N25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59">
        <f>ROUND(calls[[#This Row],[Satisfaction Rating]],0)</f>
        <v>4</v>
      </c>
      <c r="P259" s="53">
        <f t="shared" si="3"/>
        <v>307</v>
      </c>
    </row>
    <row r="260" spans="2:16">
      <c r="B260" t="s">
        <v>340</v>
      </c>
      <c r="C260" t="s">
        <v>64</v>
      </c>
      <c r="D260" s="46" t="str" cm="1">
        <f t="array" ref="D260">_xlfn.XLOOKUP(C260,customers[Customer ID],customers[Gender],"")</f>
        <v>Female</v>
      </c>
      <c r="E260" s="46" cm="1">
        <f t="array" ref="E260">_xlfn.XLOOKUP(C260,customers[Customer ID],customers[Age],"")</f>
        <v>22</v>
      </c>
      <c r="F260" s="46" t="str" cm="1">
        <f t="array" ref="F260">_xlfn.XLOOKUP(C260,customers[Customer ID],customers[City],"")</f>
        <v>Cleveland</v>
      </c>
      <c r="G260">
        <v>144</v>
      </c>
      <c r="H260" s="47" t="s">
        <v>37</v>
      </c>
      <c r="I260" s="48">
        <v>45006</v>
      </c>
      <c r="J260">
        <v>124</v>
      </c>
      <c r="K260">
        <v>4.4</v>
      </c>
      <c r="L260">
        <f>IF(MONTH(calls[[#This Row],[Date of Call]])&lt;=6,YEAR(calls[[#This Row],[Date of Call]]),YEAR(calls[[#This Row],[Date of Call]])+1)</f>
        <v>2023</v>
      </c>
      <c r="M260" t="str">
        <f>TEXT(calls[[#This Row],[Date of Call]],"DDDD")</f>
        <v>Tuesday</v>
      </c>
      <c r="N260" t="str" cm="1">
        <f t="array" ref="N26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60">
        <f>ROUND(calls[[#This Row],[Satisfaction Rating]],0)</f>
        <v>4</v>
      </c>
      <c r="P260" s="53">
        <f t="shared" ref="P260:P323" si="4">COUNTIF(O:O,5)</f>
        <v>307</v>
      </c>
    </row>
    <row r="261" spans="2:16">
      <c r="B261" t="s">
        <v>341</v>
      </c>
      <c r="C261" t="s">
        <v>71</v>
      </c>
      <c r="D261" s="46" t="str" cm="1">
        <f t="array" ref="D261">_xlfn.XLOOKUP(C261,customers[Customer ID],customers[Gender],"")</f>
        <v>Male</v>
      </c>
      <c r="E261" s="46" cm="1">
        <f t="array" ref="E261">_xlfn.XLOOKUP(C261,customers[Customer ID],customers[Age],"")</f>
        <v>23</v>
      </c>
      <c r="F261" s="46" t="str" cm="1">
        <f t="array" ref="F261">_xlfn.XLOOKUP(C261,customers[Customer ID],customers[City],"")</f>
        <v>Columbus</v>
      </c>
      <c r="G261">
        <v>113</v>
      </c>
      <c r="H261" s="47" t="s">
        <v>39</v>
      </c>
      <c r="I261" s="48">
        <v>45006</v>
      </c>
      <c r="J261">
        <v>168</v>
      </c>
      <c r="K261">
        <v>4.1</v>
      </c>
      <c r="L261">
        <f>IF(MONTH(calls[[#This Row],[Date of Call]])&lt;=6,YEAR(calls[[#This Row],[Date of Call]]),YEAR(calls[[#This Row],[Date of Call]])+1)</f>
        <v>2023</v>
      </c>
      <c r="M261" t="str">
        <f>TEXT(calls[[#This Row],[Date of Call]],"DDDD")</f>
        <v>Tuesday</v>
      </c>
      <c r="N261" t="str" cm="1">
        <f t="array" ref="N26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61">
        <f>ROUND(calls[[#This Row],[Satisfaction Rating]],0)</f>
        <v>4</v>
      </c>
      <c r="P261" s="53">
        <f t="shared" si="4"/>
        <v>307</v>
      </c>
    </row>
    <row r="262" spans="2:16">
      <c r="B262" t="s">
        <v>342</v>
      </c>
      <c r="C262" t="s">
        <v>62</v>
      </c>
      <c r="D262" s="46" t="str" cm="1">
        <f t="array" ref="D262">_xlfn.XLOOKUP(C262,customers[Customer ID],customers[Gender],"")</f>
        <v>Female</v>
      </c>
      <c r="E262" s="46" cm="1">
        <f t="array" ref="E262">_xlfn.XLOOKUP(C262,customers[Customer ID],customers[Age],"")</f>
        <v>28</v>
      </c>
      <c r="F262" s="46" t="str" cm="1">
        <f t="array" ref="F262">_xlfn.XLOOKUP(C262,customers[Customer ID],customers[City],"")</f>
        <v>Cincinnati</v>
      </c>
      <c r="G262">
        <v>154</v>
      </c>
      <c r="H262" s="47" t="s">
        <v>40</v>
      </c>
      <c r="I262" s="48">
        <v>45006</v>
      </c>
      <c r="J262">
        <v>90</v>
      </c>
      <c r="K262">
        <v>4.5</v>
      </c>
      <c r="L262">
        <f>IF(MONTH(calls[[#This Row],[Date of Call]])&lt;=6,YEAR(calls[[#This Row],[Date of Call]]),YEAR(calls[[#This Row],[Date of Call]])+1)</f>
        <v>2023</v>
      </c>
      <c r="M262" t="str">
        <f>TEXT(calls[[#This Row],[Date of Call]],"DDDD")</f>
        <v>Tuesday</v>
      </c>
      <c r="N262" t="str" cm="1">
        <f t="array" ref="N26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62">
        <f>ROUND(calls[[#This Row],[Satisfaction Rating]],0)</f>
        <v>5</v>
      </c>
      <c r="P262" s="53">
        <f t="shared" si="4"/>
        <v>307</v>
      </c>
    </row>
    <row r="263" spans="2:16">
      <c r="B263" t="s">
        <v>343</v>
      </c>
      <c r="C263" t="s">
        <v>62</v>
      </c>
      <c r="D263" s="46" t="str" cm="1">
        <f t="array" ref="D263">_xlfn.XLOOKUP(C263,customers[Customer ID],customers[Gender],"")</f>
        <v>Female</v>
      </c>
      <c r="E263" s="46" cm="1">
        <f t="array" ref="E263">_xlfn.XLOOKUP(C263,customers[Customer ID],customers[Age],"")</f>
        <v>28</v>
      </c>
      <c r="F263" s="46" t="str" cm="1">
        <f t="array" ref="F263">_xlfn.XLOOKUP(C263,customers[Customer ID],customers[City],"")</f>
        <v>Cincinnati</v>
      </c>
      <c r="G263">
        <v>58</v>
      </c>
      <c r="H263" s="47" t="s">
        <v>36</v>
      </c>
      <c r="I263" s="48">
        <v>45007</v>
      </c>
      <c r="J263">
        <v>176</v>
      </c>
      <c r="K263">
        <v>4.2</v>
      </c>
      <c r="L263">
        <f>IF(MONTH(calls[[#This Row],[Date of Call]])&lt;=6,YEAR(calls[[#This Row],[Date of Call]]),YEAR(calls[[#This Row],[Date of Call]])+1)</f>
        <v>2023</v>
      </c>
      <c r="M263" t="str">
        <f>TEXT(calls[[#This Row],[Date of Call]],"DDDD")</f>
        <v>Wednesday</v>
      </c>
      <c r="N263" t="str" cm="1">
        <f t="array" ref="N26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63">
        <f>ROUND(calls[[#This Row],[Satisfaction Rating]],0)</f>
        <v>4</v>
      </c>
      <c r="P263" s="53">
        <f t="shared" si="4"/>
        <v>307</v>
      </c>
    </row>
    <row r="264" spans="2:16">
      <c r="B264" t="s">
        <v>344</v>
      </c>
      <c r="C264" t="s">
        <v>61</v>
      </c>
      <c r="D264" s="46" t="str" cm="1">
        <f t="array" ref="D264">_xlfn.XLOOKUP(C264,customers[Customer ID],customers[Gender],"")</f>
        <v>Female</v>
      </c>
      <c r="E264" s="46" cm="1">
        <f t="array" ref="E264">_xlfn.XLOOKUP(C264,customers[Customer ID],customers[Age],"")</f>
        <v>30</v>
      </c>
      <c r="F264" s="46" t="str" cm="1">
        <f t="array" ref="F264">_xlfn.XLOOKUP(C264,customers[Customer ID],customers[City],"")</f>
        <v>Cincinnati</v>
      </c>
      <c r="G264">
        <v>63</v>
      </c>
      <c r="H264" s="47" t="s">
        <v>38</v>
      </c>
      <c r="I264" s="48">
        <v>45007</v>
      </c>
      <c r="J264">
        <v>87</v>
      </c>
      <c r="K264">
        <v>4.6</v>
      </c>
      <c r="L264">
        <f>IF(MONTH(calls[[#This Row],[Date of Call]])&lt;=6,YEAR(calls[[#This Row],[Date of Call]]),YEAR(calls[[#This Row],[Date of Call]])+1)</f>
        <v>2023</v>
      </c>
      <c r="M264" t="str">
        <f>TEXT(calls[[#This Row],[Date of Call]],"DDDD")</f>
        <v>Wednesday</v>
      </c>
      <c r="N264" t="str" cm="1">
        <f t="array" ref="N2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64">
        <f>ROUND(calls[[#This Row],[Satisfaction Rating]],0)</f>
        <v>5</v>
      </c>
      <c r="P264" s="53">
        <f t="shared" si="4"/>
        <v>307</v>
      </c>
    </row>
    <row r="265" spans="2:16">
      <c r="B265" t="s">
        <v>345</v>
      </c>
      <c r="C265" t="s">
        <v>72</v>
      </c>
      <c r="D265" s="46" t="str" cm="1">
        <f t="array" ref="D265">_xlfn.XLOOKUP(C265,customers[Customer ID],customers[Gender],"")</f>
        <v>Female</v>
      </c>
      <c r="E265" s="46" cm="1">
        <f t="array" ref="E265">_xlfn.XLOOKUP(C265,customers[Customer ID],customers[Age],"")</f>
        <v>25</v>
      </c>
      <c r="F265" s="46" t="str" cm="1">
        <f t="array" ref="F265">_xlfn.XLOOKUP(C265,customers[Customer ID],customers[City],"")</f>
        <v>Columbus</v>
      </c>
      <c r="G265">
        <v>59</v>
      </c>
      <c r="H265" s="47" t="s">
        <v>37</v>
      </c>
      <c r="I265" s="48">
        <v>45007</v>
      </c>
      <c r="J265">
        <v>128</v>
      </c>
      <c r="K265">
        <v>4.5</v>
      </c>
      <c r="L265">
        <f>IF(MONTH(calls[[#This Row],[Date of Call]])&lt;=6,YEAR(calls[[#This Row],[Date of Call]]),YEAR(calls[[#This Row],[Date of Call]])+1)</f>
        <v>2023</v>
      </c>
      <c r="M265" t="str">
        <f>TEXT(calls[[#This Row],[Date of Call]],"DDDD")</f>
        <v>Wednesday</v>
      </c>
      <c r="N265" t="str" cm="1">
        <f t="array" ref="N26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65">
        <f>ROUND(calls[[#This Row],[Satisfaction Rating]],0)</f>
        <v>5</v>
      </c>
      <c r="P265" s="53">
        <f t="shared" si="4"/>
        <v>307</v>
      </c>
    </row>
    <row r="266" spans="2:16">
      <c r="B266" t="s">
        <v>346</v>
      </c>
      <c r="C266" t="s">
        <v>65</v>
      </c>
      <c r="D266" s="46" t="str" cm="1">
        <f t="array" ref="D266">_xlfn.XLOOKUP(C266,customers[Customer ID],customers[Gender],"")</f>
        <v>Female</v>
      </c>
      <c r="E266" s="46" cm="1">
        <f t="array" ref="E266">_xlfn.XLOOKUP(C266,customers[Customer ID],customers[Age],"")</f>
        <v>42</v>
      </c>
      <c r="F266" s="46" t="str" cm="1">
        <f t="array" ref="F266">_xlfn.XLOOKUP(C266,customers[Customer ID],customers[City],"")</f>
        <v>Cleveland</v>
      </c>
      <c r="G266">
        <v>129</v>
      </c>
      <c r="H266" s="47" t="s">
        <v>38</v>
      </c>
      <c r="I266" s="48">
        <v>45007</v>
      </c>
      <c r="J266">
        <v>120</v>
      </c>
      <c r="K266">
        <v>4.1</v>
      </c>
      <c r="L266">
        <f>IF(MONTH(calls[[#This Row],[Date of Call]])&lt;=6,YEAR(calls[[#This Row],[Date of Call]]),YEAR(calls[[#This Row],[Date of Call]])+1)</f>
        <v>2023</v>
      </c>
      <c r="M266" t="str">
        <f>TEXT(calls[[#This Row],[Date of Call]],"DDDD")</f>
        <v>Wednesday</v>
      </c>
      <c r="N266" t="str" cm="1">
        <f t="array" ref="N26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66">
        <f>ROUND(calls[[#This Row],[Satisfaction Rating]],0)</f>
        <v>4</v>
      </c>
      <c r="P266" s="53">
        <f t="shared" si="4"/>
        <v>307</v>
      </c>
    </row>
    <row r="267" spans="2:16">
      <c r="B267" t="s">
        <v>347</v>
      </c>
      <c r="C267" t="s">
        <v>63</v>
      </c>
      <c r="D267" s="46" t="str" cm="1">
        <f t="array" ref="D267">_xlfn.XLOOKUP(C267,customers[Customer ID],customers[Gender],"")</f>
        <v>Male</v>
      </c>
      <c r="E267" s="46" cm="1">
        <f t="array" ref="E267">_xlfn.XLOOKUP(C267,customers[Customer ID],customers[Age],"")</f>
        <v>31</v>
      </c>
      <c r="F267" s="46" t="str" cm="1">
        <f t="array" ref="F267">_xlfn.XLOOKUP(C267,customers[Customer ID],customers[City],"")</f>
        <v>Cleveland</v>
      </c>
      <c r="G267">
        <v>101</v>
      </c>
      <c r="H267" s="47" t="s">
        <v>39</v>
      </c>
      <c r="I267" s="48">
        <v>45007</v>
      </c>
      <c r="J267">
        <v>130</v>
      </c>
      <c r="K267">
        <v>4.8</v>
      </c>
      <c r="L267">
        <f>IF(MONTH(calls[[#This Row],[Date of Call]])&lt;=6,YEAR(calls[[#This Row],[Date of Call]]),YEAR(calls[[#This Row],[Date of Call]])+1)</f>
        <v>2023</v>
      </c>
      <c r="M267" t="str">
        <f>TEXT(calls[[#This Row],[Date of Call]],"DDDD")</f>
        <v>Wednesday</v>
      </c>
      <c r="N267" t="str" cm="1">
        <f t="array" ref="N2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67">
        <f>ROUND(calls[[#This Row],[Satisfaction Rating]],0)</f>
        <v>5</v>
      </c>
      <c r="P267" s="53">
        <f t="shared" si="4"/>
        <v>307</v>
      </c>
    </row>
    <row r="268" spans="2:16">
      <c r="B268" t="s">
        <v>348</v>
      </c>
      <c r="C268" t="s">
        <v>68</v>
      </c>
      <c r="D268" s="46" t="str" cm="1">
        <f t="array" ref="D268">_xlfn.XLOOKUP(C268,customers[Customer ID],customers[Gender],"")</f>
        <v>Female</v>
      </c>
      <c r="E268" s="46" cm="1">
        <f t="array" ref="E268">_xlfn.XLOOKUP(C268,customers[Customer ID],customers[Age],"")</f>
        <v>43</v>
      </c>
      <c r="F268" s="46" t="str" cm="1">
        <f t="array" ref="F268">_xlfn.XLOOKUP(C268,customers[Customer ID],customers[City],"")</f>
        <v>Cleveland</v>
      </c>
      <c r="G268">
        <v>154</v>
      </c>
      <c r="H268" s="47" t="s">
        <v>37</v>
      </c>
      <c r="I268" s="48">
        <v>45007</v>
      </c>
      <c r="J268">
        <v>172</v>
      </c>
      <c r="K268">
        <v>3.1</v>
      </c>
      <c r="L268">
        <f>IF(MONTH(calls[[#This Row],[Date of Call]])&lt;=6,YEAR(calls[[#This Row],[Date of Call]]),YEAR(calls[[#This Row],[Date of Call]])+1)</f>
        <v>2023</v>
      </c>
      <c r="M268" t="str">
        <f>TEXT(calls[[#This Row],[Date of Call]],"DDDD")</f>
        <v>Wednesday</v>
      </c>
      <c r="N268" t="str" cm="1">
        <f t="array" ref="N26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68">
        <f>ROUND(calls[[#This Row],[Satisfaction Rating]],0)</f>
        <v>3</v>
      </c>
      <c r="P268" s="53">
        <f t="shared" si="4"/>
        <v>307</v>
      </c>
    </row>
    <row r="269" spans="2:16">
      <c r="B269" t="s">
        <v>349</v>
      </c>
      <c r="C269" t="s">
        <v>66</v>
      </c>
      <c r="D269" s="46" t="str" cm="1">
        <f t="array" ref="D269">_xlfn.XLOOKUP(C269,customers[Customer ID],customers[Gender],"")</f>
        <v>Female</v>
      </c>
      <c r="E269" s="46" cm="1">
        <f t="array" ref="E269">_xlfn.XLOOKUP(C269,customers[Customer ID],customers[Age],"")</f>
        <v>30</v>
      </c>
      <c r="F269" s="46" t="str" cm="1">
        <f t="array" ref="F269">_xlfn.XLOOKUP(C269,customers[Customer ID],customers[City],"")</f>
        <v>Cleveland</v>
      </c>
      <c r="G269">
        <v>131</v>
      </c>
      <c r="H269" s="47" t="s">
        <v>37</v>
      </c>
      <c r="I269" s="48">
        <v>45007</v>
      </c>
      <c r="J269">
        <v>58</v>
      </c>
      <c r="K269">
        <v>4.9</v>
      </c>
      <c r="L269">
        <f>IF(MONTH(calls[[#This Row],[Date of Call]])&lt;=6,YEAR(calls[[#This Row],[Date of Call]]),YEAR(calls[[#This Row],[Date of Call]])+1)</f>
        <v>2023</v>
      </c>
      <c r="M269" t="str">
        <f>TEXT(calls[[#This Row],[Date of Call]],"DDDD")</f>
        <v>Wednesday</v>
      </c>
      <c r="N269" t="str" cm="1">
        <f t="array" ref="N26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69">
        <f>ROUND(calls[[#This Row],[Satisfaction Rating]],0)</f>
        <v>5</v>
      </c>
      <c r="P269" s="53">
        <f t="shared" si="4"/>
        <v>307</v>
      </c>
    </row>
    <row r="270" spans="2:16">
      <c r="B270" t="s">
        <v>350</v>
      </c>
      <c r="C270" t="s">
        <v>64</v>
      </c>
      <c r="D270" s="46" t="str" cm="1">
        <f t="array" ref="D270">_xlfn.XLOOKUP(C270,customers[Customer ID],customers[Gender],"")</f>
        <v>Female</v>
      </c>
      <c r="E270" s="46" cm="1">
        <f t="array" ref="E270">_xlfn.XLOOKUP(C270,customers[Customer ID],customers[Age],"")</f>
        <v>22</v>
      </c>
      <c r="F270" s="46" t="str" cm="1">
        <f t="array" ref="F270">_xlfn.XLOOKUP(C270,customers[Customer ID],customers[City],"")</f>
        <v>Cleveland</v>
      </c>
      <c r="G270">
        <v>111</v>
      </c>
      <c r="H270" s="47" t="s">
        <v>39</v>
      </c>
      <c r="I270" s="48">
        <v>45008</v>
      </c>
      <c r="J270">
        <v>86</v>
      </c>
      <c r="K270">
        <v>4.1</v>
      </c>
      <c r="L270">
        <f>IF(MONTH(calls[[#This Row],[Date of Call]])&lt;=6,YEAR(calls[[#This Row],[Date of Call]]),YEAR(calls[[#This Row],[Date of Call]])+1)</f>
        <v>2023</v>
      </c>
      <c r="M270" t="str">
        <f>TEXT(calls[[#This Row],[Date of Call]],"DDDD")</f>
        <v>Thursday</v>
      </c>
      <c r="N270" t="str" cm="1">
        <f t="array" ref="N2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70">
        <f>ROUND(calls[[#This Row],[Satisfaction Rating]],0)</f>
        <v>4</v>
      </c>
      <c r="P270" s="53">
        <f t="shared" si="4"/>
        <v>307</v>
      </c>
    </row>
    <row r="271" spans="2:16">
      <c r="B271" t="s">
        <v>351</v>
      </c>
      <c r="C271" t="s">
        <v>62</v>
      </c>
      <c r="D271" s="46" t="str" cm="1">
        <f t="array" ref="D271">_xlfn.XLOOKUP(C271,customers[Customer ID],customers[Gender],"")</f>
        <v>Female</v>
      </c>
      <c r="E271" s="46" cm="1">
        <f t="array" ref="E271">_xlfn.XLOOKUP(C271,customers[Customer ID],customers[Age],"")</f>
        <v>28</v>
      </c>
      <c r="F271" s="46" t="str" cm="1">
        <f t="array" ref="F271">_xlfn.XLOOKUP(C271,customers[Customer ID],customers[City],"")</f>
        <v>Cincinnati</v>
      </c>
      <c r="G271">
        <v>142</v>
      </c>
      <c r="H271" s="47" t="s">
        <v>39</v>
      </c>
      <c r="I271" s="48">
        <v>45009</v>
      </c>
      <c r="J271">
        <v>31</v>
      </c>
      <c r="K271">
        <v>4.4</v>
      </c>
      <c r="L271">
        <f>IF(MONTH(calls[[#This Row],[Date of Call]])&lt;=6,YEAR(calls[[#This Row],[Date of Call]]),YEAR(calls[[#This Row],[Date of Call]])+1)</f>
        <v>2023</v>
      </c>
      <c r="M271" t="str">
        <f>TEXT(calls[[#This Row],[Date of Call]],"DDDD")</f>
        <v>Friday</v>
      </c>
      <c r="N271" t="str" cm="1">
        <f t="array" ref="N27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71">
        <f>ROUND(calls[[#This Row],[Satisfaction Rating]],0)</f>
        <v>4</v>
      </c>
      <c r="P271" s="53">
        <f t="shared" si="4"/>
        <v>307</v>
      </c>
    </row>
    <row r="272" spans="2:16">
      <c r="B272" t="s">
        <v>352</v>
      </c>
      <c r="C272" t="s">
        <v>70</v>
      </c>
      <c r="D272" s="46" t="str" cm="1">
        <f t="array" ref="D272">_xlfn.XLOOKUP(C272,customers[Customer ID],customers[Gender],"")</f>
        <v>Male</v>
      </c>
      <c r="E272" s="46" cm="1">
        <f t="array" ref="E272">_xlfn.XLOOKUP(C272,customers[Customer ID],customers[Age],"")</f>
        <v>37</v>
      </c>
      <c r="F272" s="46" t="str" cm="1">
        <f t="array" ref="F272">_xlfn.XLOOKUP(C272,customers[Customer ID],customers[City],"")</f>
        <v>Columbus</v>
      </c>
      <c r="G272">
        <v>93</v>
      </c>
      <c r="H272" s="47" t="s">
        <v>38</v>
      </c>
      <c r="I272" s="48">
        <v>45009</v>
      </c>
      <c r="J272">
        <v>72</v>
      </c>
      <c r="K272">
        <v>4.4</v>
      </c>
      <c r="L272">
        <f>IF(MONTH(calls[[#This Row],[Date of Call]])&lt;=6,YEAR(calls[[#This Row],[Date of Call]]),YEAR(calls[[#This Row],[Date of Call]])+1)</f>
        <v>2023</v>
      </c>
      <c r="M272" t="str">
        <f>TEXT(calls[[#This Row],[Date of Call]],"DDDD")</f>
        <v>Friday</v>
      </c>
      <c r="N272" t="str" cm="1">
        <f t="array" ref="N2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72">
        <f>ROUND(calls[[#This Row],[Satisfaction Rating]],0)</f>
        <v>4</v>
      </c>
      <c r="P272" s="53">
        <f t="shared" si="4"/>
        <v>307</v>
      </c>
    </row>
    <row r="273" spans="2:16">
      <c r="B273" t="s">
        <v>353</v>
      </c>
      <c r="C273" t="s">
        <v>62</v>
      </c>
      <c r="D273" s="46" t="str" cm="1">
        <f t="array" ref="D273">_xlfn.XLOOKUP(C273,customers[Customer ID],customers[Gender],"")</f>
        <v>Female</v>
      </c>
      <c r="E273" s="46" cm="1">
        <f t="array" ref="E273">_xlfn.XLOOKUP(C273,customers[Customer ID],customers[Age],"")</f>
        <v>28</v>
      </c>
      <c r="F273" s="46" t="str" cm="1">
        <f t="array" ref="F273">_xlfn.XLOOKUP(C273,customers[Customer ID],customers[City],"")</f>
        <v>Cincinnati</v>
      </c>
      <c r="G273">
        <v>125</v>
      </c>
      <c r="H273" s="47" t="s">
        <v>40</v>
      </c>
      <c r="I273" s="48">
        <v>45010</v>
      </c>
      <c r="J273">
        <v>27</v>
      </c>
      <c r="K273">
        <v>3</v>
      </c>
      <c r="L273">
        <f>IF(MONTH(calls[[#This Row],[Date of Call]])&lt;=6,YEAR(calls[[#This Row],[Date of Call]]),YEAR(calls[[#This Row],[Date of Call]])+1)</f>
        <v>2023</v>
      </c>
      <c r="M273" t="str">
        <f>TEXT(calls[[#This Row],[Date of Call]],"DDDD")</f>
        <v>Saturday</v>
      </c>
      <c r="N273" t="str" cm="1">
        <f t="array" ref="N27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73">
        <f>ROUND(calls[[#This Row],[Satisfaction Rating]],0)</f>
        <v>3</v>
      </c>
      <c r="P273" s="53">
        <f t="shared" si="4"/>
        <v>307</v>
      </c>
    </row>
    <row r="274" spans="2:16">
      <c r="B274" t="s">
        <v>354</v>
      </c>
      <c r="C274" t="s">
        <v>65</v>
      </c>
      <c r="D274" s="46" t="str" cm="1">
        <f t="array" ref="D274">_xlfn.XLOOKUP(C274,customers[Customer ID],customers[Gender],"")</f>
        <v>Female</v>
      </c>
      <c r="E274" s="46" cm="1">
        <f t="array" ref="E274">_xlfn.XLOOKUP(C274,customers[Customer ID],customers[Age],"")</f>
        <v>42</v>
      </c>
      <c r="F274" s="46" t="str" cm="1">
        <f t="array" ref="F274">_xlfn.XLOOKUP(C274,customers[Customer ID],customers[City],"")</f>
        <v>Cleveland</v>
      </c>
      <c r="G274">
        <v>76</v>
      </c>
      <c r="H274" s="47" t="s">
        <v>37</v>
      </c>
      <c r="I274" s="48">
        <v>45010</v>
      </c>
      <c r="J274">
        <v>110</v>
      </c>
      <c r="K274">
        <v>4.4</v>
      </c>
      <c r="L274">
        <f>IF(MONTH(calls[[#This Row],[Date of Call]])&lt;=6,YEAR(calls[[#This Row],[Date of Call]]),YEAR(calls[[#This Row],[Date of Call]])+1)</f>
        <v>2023</v>
      </c>
      <c r="M274" t="str">
        <f>TEXT(calls[[#This Row],[Date of Call]],"DDDD")</f>
        <v>Saturday</v>
      </c>
      <c r="N274" t="str" cm="1">
        <f t="array" ref="N2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74">
        <f>ROUND(calls[[#This Row],[Satisfaction Rating]],0)</f>
        <v>4</v>
      </c>
      <c r="P274" s="53">
        <f t="shared" si="4"/>
        <v>307</v>
      </c>
    </row>
    <row r="275" spans="2:16">
      <c r="B275" t="s">
        <v>355</v>
      </c>
      <c r="C275" t="s">
        <v>71</v>
      </c>
      <c r="D275" s="46" t="str" cm="1">
        <f t="array" ref="D275">_xlfn.XLOOKUP(C275,customers[Customer ID],customers[Gender],"")</f>
        <v>Male</v>
      </c>
      <c r="E275" s="46" cm="1">
        <f t="array" ref="E275">_xlfn.XLOOKUP(C275,customers[Customer ID],customers[Age],"")</f>
        <v>23</v>
      </c>
      <c r="F275" s="46" t="str" cm="1">
        <f t="array" ref="F275">_xlfn.XLOOKUP(C275,customers[Customer ID],customers[City],"")</f>
        <v>Columbus</v>
      </c>
      <c r="G275">
        <v>69</v>
      </c>
      <c r="H275" s="47" t="s">
        <v>38</v>
      </c>
      <c r="I275" s="48">
        <v>45010</v>
      </c>
      <c r="J275">
        <v>126</v>
      </c>
      <c r="K275">
        <v>3.7</v>
      </c>
      <c r="L275">
        <f>IF(MONTH(calls[[#This Row],[Date of Call]])&lt;=6,YEAR(calls[[#This Row],[Date of Call]]),YEAR(calls[[#This Row],[Date of Call]])+1)</f>
        <v>2023</v>
      </c>
      <c r="M275" t="str">
        <f>TEXT(calls[[#This Row],[Date of Call]],"DDDD")</f>
        <v>Saturday</v>
      </c>
      <c r="N275" t="str" cm="1">
        <f t="array" ref="N27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75">
        <f>ROUND(calls[[#This Row],[Satisfaction Rating]],0)</f>
        <v>4</v>
      </c>
      <c r="P275" s="53">
        <f t="shared" si="4"/>
        <v>307</v>
      </c>
    </row>
    <row r="276" spans="2:16">
      <c r="B276" t="s">
        <v>356</v>
      </c>
      <c r="C276" t="s">
        <v>72</v>
      </c>
      <c r="D276" s="46" t="str" cm="1">
        <f t="array" ref="D276">_xlfn.XLOOKUP(C276,customers[Customer ID],customers[Gender],"")</f>
        <v>Female</v>
      </c>
      <c r="E276" s="46" cm="1">
        <f t="array" ref="E276">_xlfn.XLOOKUP(C276,customers[Customer ID],customers[Age],"")</f>
        <v>25</v>
      </c>
      <c r="F276" s="46" t="str" cm="1">
        <f t="array" ref="F276">_xlfn.XLOOKUP(C276,customers[Customer ID],customers[City],"")</f>
        <v>Columbus</v>
      </c>
      <c r="G276">
        <v>149</v>
      </c>
      <c r="H276" s="47" t="s">
        <v>40</v>
      </c>
      <c r="I276" s="48">
        <v>45010</v>
      </c>
      <c r="J276">
        <v>60</v>
      </c>
      <c r="K276">
        <v>3.9</v>
      </c>
      <c r="L276">
        <f>IF(MONTH(calls[[#This Row],[Date of Call]])&lt;=6,YEAR(calls[[#This Row],[Date of Call]]),YEAR(calls[[#This Row],[Date of Call]])+1)</f>
        <v>2023</v>
      </c>
      <c r="M276" t="str">
        <f>TEXT(calls[[#This Row],[Date of Call]],"DDDD")</f>
        <v>Saturday</v>
      </c>
      <c r="N276" t="str" cm="1">
        <f t="array" ref="N27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76">
        <f>ROUND(calls[[#This Row],[Satisfaction Rating]],0)</f>
        <v>4</v>
      </c>
      <c r="P276" s="53">
        <f t="shared" si="4"/>
        <v>307</v>
      </c>
    </row>
    <row r="277" spans="2:16">
      <c r="B277" t="s">
        <v>357</v>
      </c>
      <c r="C277" t="s">
        <v>62</v>
      </c>
      <c r="D277" s="46" t="str" cm="1">
        <f t="array" ref="D277">_xlfn.XLOOKUP(C277,customers[Customer ID],customers[Gender],"")</f>
        <v>Female</v>
      </c>
      <c r="E277" s="46" cm="1">
        <f t="array" ref="E277">_xlfn.XLOOKUP(C277,customers[Customer ID],customers[Age],"")</f>
        <v>28</v>
      </c>
      <c r="F277" s="46" t="str" cm="1">
        <f t="array" ref="F277">_xlfn.XLOOKUP(C277,customers[Customer ID],customers[City],"")</f>
        <v>Cincinnati</v>
      </c>
      <c r="G277">
        <v>57</v>
      </c>
      <c r="H277" s="47" t="s">
        <v>38</v>
      </c>
      <c r="I277" s="48">
        <v>45010</v>
      </c>
      <c r="J277">
        <v>35</v>
      </c>
      <c r="K277">
        <v>3.5</v>
      </c>
      <c r="L277">
        <f>IF(MONTH(calls[[#This Row],[Date of Call]])&lt;=6,YEAR(calls[[#This Row],[Date of Call]]),YEAR(calls[[#This Row],[Date of Call]])+1)</f>
        <v>2023</v>
      </c>
      <c r="M277" t="str">
        <f>TEXT(calls[[#This Row],[Date of Call]],"DDDD")</f>
        <v>Saturday</v>
      </c>
      <c r="N277" t="str" cm="1">
        <f t="array" ref="N27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77">
        <f>ROUND(calls[[#This Row],[Satisfaction Rating]],0)</f>
        <v>4</v>
      </c>
      <c r="P277" s="53">
        <f t="shared" si="4"/>
        <v>307</v>
      </c>
    </row>
    <row r="278" spans="2:16">
      <c r="B278" t="s">
        <v>358</v>
      </c>
      <c r="C278" t="s">
        <v>60</v>
      </c>
      <c r="D278" s="46" t="str" cm="1">
        <f t="array" ref="D278">_xlfn.XLOOKUP(C278,customers[Customer ID],customers[Gender],"")</f>
        <v>Male</v>
      </c>
      <c r="E278" s="46" cm="1">
        <f t="array" ref="E278">_xlfn.XLOOKUP(C278,customers[Customer ID],customers[Age],"")</f>
        <v>36</v>
      </c>
      <c r="F278" s="46" t="str" cm="1">
        <f t="array" ref="F278">_xlfn.XLOOKUP(C278,customers[Customer ID],customers[City],"")</f>
        <v>Cincinnati</v>
      </c>
      <c r="G278">
        <v>113</v>
      </c>
      <c r="H278" s="47" t="s">
        <v>37</v>
      </c>
      <c r="I278" s="48">
        <v>45010</v>
      </c>
      <c r="J278">
        <v>81</v>
      </c>
      <c r="K278">
        <v>3.5</v>
      </c>
      <c r="L278">
        <f>IF(MONTH(calls[[#This Row],[Date of Call]])&lt;=6,YEAR(calls[[#This Row],[Date of Call]]),YEAR(calls[[#This Row],[Date of Call]])+1)</f>
        <v>2023</v>
      </c>
      <c r="M278" t="str">
        <f>TEXT(calls[[#This Row],[Date of Call]],"DDDD")</f>
        <v>Saturday</v>
      </c>
      <c r="N278" t="str" cm="1">
        <f t="array" ref="N27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78">
        <f>ROUND(calls[[#This Row],[Satisfaction Rating]],0)</f>
        <v>4</v>
      </c>
      <c r="P278" s="53">
        <f t="shared" si="4"/>
        <v>307</v>
      </c>
    </row>
    <row r="279" spans="2:16">
      <c r="B279" t="s">
        <v>359</v>
      </c>
      <c r="C279" t="s">
        <v>59</v>
      </c>
      <c r="D279" s="46" t="str" cm="1">
        <f t="array" ref="D279">_xlfn.XLOOKUP(C279,customers[Customer ID],customers[Gender],"")</f>
        <v>Male</v>
      </c>
      <c r="E279" s="46" cm="1">
        <f t="array" ref="E279">_xlfn.XLOOKUP(C279,customers[Customer ID],customers[Age],"")</f>
        <v>26</v>
      </c>
      <c r="F279" s="46" t="str" cm="1">
        <f t="array" ref="F279">_xlfn.XLOOKUP(C279,customers[Customer ID],customers[City],"")</f>
        <v>Cincinnati</v>
      </c>
      <c r="G279">
        <v>160</v>
      </c>
      <c r="H279" s="47" t="s">
        <v>40</v>
      </c>
      <c r="I279" s="48">
        <v>45010</v>
      </c>
      <c r="J279">
        <v>116</v>
      </c>
      <c r="K279">
        <v>3.4</v>
      </c>
      <c r="L279">
        <f>IF(MONTH(calls[[#This Row],[Date of Call]])&lt;=6,YEAR(calls[[#This Row],[Date of Call]]),YEAR(calls[[#This Row],[Date of Call]])+1)</f>
        <v>2023</v>
      </c>
      <c r="M279" t="str">
        <f>TEXT(calls[[#This Row],[Date of Call]],"DDDD")</f>
        <v>Saturday</v>
      </c>
      <c r="N279" t="str" cm="1">
        <f t="array" ref="N27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79">
        <f>ROUND(calls[[#This Row],[Satisfaction Rating]],0)</f>
        <v>3</v>
      </c>
      <c r="P279" s="53">
        <f t="shared" si="4"/>
        <v>307</v>
      </c>
    </row>
    <row r="280" spans="2:16">
      <c r="B280" t="s">
        <v>360</v>
      </c>
      <c r="C280" t="s">
        <v>61</v>
      </c>
      <c r="D280" s="46" t="str" cm="1">
        <f t="array" ref="D280">_xlfn.XLOOKUP(C280,customers[Customer ID],customers[Gender],"")</f>
        <v>Female</v>
      </c>
      <c r="E280" s="46" cm="1">
        <f t="array" ref="E280">_xlfn.XLOOKUP(C280,customers[Customer ID],customers[Age],"")</f>
        <v>30</v>
      </c>
      <c r="F280" s="46" t="str" cm="1">
        <f t="array" ref="F280">_xlfn.XLOOKUP(C280,customers[Customer ID],customers[City],"")</f>
        <v>Cincinnati</v>
      </c>
      <c r="G280">
        <v>158</v>
      </c>
      <c r="H280" s="47" t="s">
        <v>36</v>
      </c>
      <c r="I280" s="48">
        <v>45010</v>
      </c>
      <c r="J280">
        <v>60</v>
      </c>
      <c r="K280">
        <v>4.5</v>
      </c>
      <c r="L280">
        <f>IF(MONTH(calls[[#This Row],[Date of Call]])&lt;=6,YEAR(calls[[#This Row],[Date of Call]]),YEAR(calls[[#This Row],[Date of Call]])+1)</f>
        <v>2023</v>
      </c>
      <c r="M280" t="str">
        <f>TEXT(calls[[#This Row],[Date of Call]],"DDDD")</f>
        <v>Saturday</v>
      </c>
      <c r="N280" t="str" cm="1">
        <f t="array" ref="N28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80">
        <f>ROUND(calls[[#This Row],[Satisfaction Rating]],0)</f>
        <v>5</v>
      </c>
      <c r="P280" s="53">
        <f t="shared" si="4"/>
        <v>307</v>
      </c>
    </row>
    <row r="281" spans="2:16">
      <c r="B281" t="s">
        <v>361</v>
      </c>
      <c r="C281" t="s">
        <v>71</v>
      </c>
      <c r="D281" s="46" t="str" cm="1">
        <f t="array" ref="D281">_xlfn.XLOOKUP(C281,customers[Customer ID],customers[Gender],"")</f>
        <v>Male</v>
      </c>
      <c r="E281" s="46" cm="1">
        <f t="array" ref="E281">_xlfn.XLOOKUP(C281,customers[Customer ID],customers[Age],"")</f>
        <v>23</v>
      </c>
      <c r="F281" s="46" t="str" cm="1">
        <f t="array" ref="F281">_xlfn.XLOOKUP(C281,customers[Customer ID],customers[City],"")</f>
        <v>Columbus</v>
      </c>
      <c r="G281">
        <v>77</v>
      </c>
      <c r="H281" s="47" t="s">
        <v>40</v>
      </c>
      <c r="I281" s="48">
        <v>45011</v>
      </c>
      <c r="J281">
        <v>130</v>
      </c>
      <c r="K281">
        <v>4.2</v>
      </c>
      <c r="L281">
        <f>IF(MONTH(calls[[#This Row],[Date of Call]])&lt;=6,YEAR(calls[[#This Row],[Date of Call]]),YEAR(calls[[#This Row],[Date of Call]])+1)</f>
        <v>2023</v>
      </c>
      <c r="M281" t="str">
        <f>TEXT(calls[[#This Row],[Date of Call]],"DDDD")</f>
        <v>Sunday</v>
      </c>
      <c r="N281" t="str" cm="1">
        <f t="array" ref="N2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81">
        <f>ROUND(calls[[#This Row],[Satisfaction Rating]],0)</f>
        <v>4</v>
      </c>
      <c r="P281" s="53">
        <f t="shared" si="4"/>
        <v>307</v>
      </c>
    </row>
    <row r="282" spans="2:16">
      <c r="B282" t="s">
        <v>362</v>
      </c>
      <c r="C282" t="s">
        <v>67</v>
      </c>
      <c r="D282" s="46" t="str" cm="1">
        <f t="array" ref="D282">_xlfn.XLOOKUP(C282,customers[Customer ID],customers[Gender],"")</f>
        <v>Female</v>
      </c>
      <c r="E282" s="46" cm="1">
        <f t="array" ref="E282">_xlfn.XLOOKUP(C282,customers[Customer ID],customers[Age],"")</f>
        <v>37</v>
      </c>
      <c r="F282" s="46" t="str" cm="1">
        <f t="array" ref="F282">_xlfn.XLOOKUP(C282,customers[Customer ID],customers[City],"")</f>
        <v>Cleveland</v>
      </c>
      <c r="G282">
        <v>118</v>
      </c>
      <c r="H282" s="47" t="s">
        <v>39</v>
      </c>
      <c r="I282" s="48">
        <v>45011</v>
      </c>
      <c r="J282">
        <v>99</v>
      </c>
      <c r="K282">
        <v>5</v>
      </c>
      <c r="L282">
        <f>IF(MONTH(calls[[#This Row],[Date of Call]])&lt;=6,YEAR(calls[[#This Row],[Date of Call]]),YEAR(calls[[#This Row],[Date of Call]])+1)</f>
        <v>2023</v>
      </c>
      <c r="M282" t="str">
        <f>TEXT(calls[[#This Row],[Date of Call]],"DDDD")</f>
        <v>Sunday</v>
      </c>
      <c r="N282" t="str" cm="1">
        <f t="array" ref="N2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82">
        <f>ROUND(calls[[#This Row],[Satisfaction Rating]],0)</f>
        <v>5</v>
      </c>
      <c r="P282" s="53">
        <f t="shared" si="4"/>
        <v>307</v>
      </c>
    </row>
    <row r="283" spans="2:16">
      <c r="B283" t="s">
        <v>363</v>
      </c>
      <c r="C283" t="s">
        <v>68</v>
      </c>
      <c r="D283" s="46" t="str" cm="1">
        <f t="array" ref="D283">_xlfn.XLOOKUP(C283,customers[Customer ID],customers[Gender],"")</f>
        <v>Female</v>
      </c>
      <c r="E283" s="46" cm="1">
        <f t="array" ref="E283">_xlfn.XLOOKUP(C283,customers[Customer ID],customers[Age],"")</f>
        <v>43</v>
      </c>
      <c r="F283" s="46" t="str" cm="1">
        <f t="array" ref="F283">_xlfn.XLOOKUP(C283,customers[Customer ID],customers[City],"")</f>
        <v>Cleveland</v>
      </c>
      <c r="G283">
        <v>75</v>
      </c>
      <c r="H283" s="47" t="s">
        <v>37</v>
      </c>
      <c r="I283" s="48">
        <v>45011</v>
      </c>
      <c r="J283">
        <v>135</v>
      </c>
      <c r="K283">
        <v>4.7</v>
      </c>
      <c r="L283">
        <f>IF(MONTH(calls[[#This Row],[Date of Call]])&lt;=6,YEAR(calls[[#This Row],[Date of Call]]),YEAR(calls[[#This Row],[Date of Call]])+1)</f>
        <v>2023</v>
      </c>
      <c r="M283" t="str">
        <f>TEXT(calls[[#This Row],[Date of Call]],"DDDD")</f>
        <v>Sunday</v>
      </c>
      <c r="N283" t="str" cm="1">
        <f t="array" ref="N2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83">
        <f>ROUND(calls[[#This Row],[Satisfaction Rating]],0)</f>
        <v>5</v>
      </c>
      <c r="P283" s="53">
        <f t="shared" si="4"/>
        <v>307</v>
      </c>
    </row>
    <row r="284" spans="2:16">
      <c r="B284" t="s">
        <v>364</v>
      </c>
      <c r="C284" t="s">
        <v>60</v>
      </c>
      <c r="D284" s="46" t="str" cm="1">
        <f t="array" ref="D284">_xlfn.XLOOKUP(C284,customers[Customer ID],customers[Gender],"")</f>
        <v>Male</v>
      </c>
      <c r="E284" s="46" cm="1">
        <f t="array" ref="E284">_xlfn.XLOOKUP(C284,customers[Customer ID],customers[Age],"")</f>
        <v>36</v>
      </c>
      <c r="F284" s="46" t="str" cm="1">
        <f t="array" ref="F284">_xlfn.XLOOKUP(C284,customers[Customer ID],customers[City],"")</f>
        <v>Cincinnati</v>
      </c>
      <c r="G284">
        <v>103</v>
      </c>
      <c r="H284" s="47" t="s">
        <v>40</v>
      </c>
      <c r="I284" s="48">
        <v>45011</v>
      </c>
      <c r="J284">
        <v>42</v>
      </c>
      <c r="K284">
        <v>2.8</v>
      </c>
      <c r="L284">
        <f>IF(MONTH(calls[[#This Row],[Date of Call]])&lt;=6,YEAR(calls[[#This Row],[Date of Call]]),YEAR(calls[[#This Row],[Date of Call]])+1)</f>
        <v>2023</v>
      </c>
      <c r="M284" t="str">
        <f>TEXT(calls[[#This Row],[Date of Call]],"DDDD")</f>
        <v>Sunday</v>
      </c>
      <c r="N284" t="str" cm="1">
        <f t="array" ref="N2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84">
        <f>ROUND(calls[[#This Row],[Satisfaction Rating]],0)</f>
        <v>3</v>
      </c>
      <c r="P284" s="53">
        <f t="shared" si="4"/>
        <v>307</v>
      </c>
    </row>
    <row r="285" spans="2:16">
      <c r="B285" t="s">
        <v>365</v>
      </c>
      <c r="C285" t="s">
        <v>71</v>
      </c>
      <c r="D285" s="46" t="str" cm="1">
        <f t="array" ref="D285">_xlfn.XLOOKUP(C285,customers[Customer ID],customers[Gender],"")</f>
        <v>Male</v>
      </c>
      <c r="E285" s="46" cm="1">
        <f t="array" ref="E285">_xlfn.XLOOKUP(C285,customers[Customer ID],customers[Age],"")</f>
        <v>23</v>
      </c>
      <c r="F285" s="46" t="str" cm="1">
        <f t="array" ref="F285">_xlfn.XLOOKUP(C285,customers[Customer ID],customers[City],"")</f>
        <v>Columbus</v>
      </c>
      <c r="G285">
        <v>116</v>
      </c>
      <c r="H285" s="47" t="s">
        <v>39</v>
      </c>
      <c r="I285" s="48">
        <v>45012</v>
      </c>
      <c r="J285">
        <v>63</v>
      </c>
      <c r="K285">
        <v>3.4</v>
      </c>
      <c r="L285">
        <f>IF(MONTH(calls[[#This Row],[Date of Call]])&lt;=6,YEAR(calls[[#This Row],[Date of Call]]),YEAR(calls[[#This Row],[Date of Call]])+1)</f>
        <v>2023</v>
      </c>
      <c r="M285" t="str">
        <f>TEXT(calls[[#This Row],[Date of Call]],"DDDD")</f>
        <v>Monday</v>
      </c>
      <c r="N285" t="str" cm="1">
        <f t="array" ref="N2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85">
        <f>ROUND(calls[[#This Row],[Satisfaction Rating]],0)</f>
        <v>3</v>
      </c>
      <c r="P285" s="53">
        <f t="shared" si="4"/>
        <v>307</v>
      </c>
    </row>
    <row r="286" spans="2:16">
      <c r="B286" t="s">
        <v>366</v>
      </c>
      <c r="C286" t="s">
        <v>64</v>
      </c>
      <c r="D286" s="46" t="str" cm="1">
        <f t="array" ref="D286">_xlfn.XLOOKUP(C286,customers[Customer ID],customers[Gender],"")</f>
        <v>Female</v>
      </c>
      <c r="E286" s="46" cm="1">
        <f t="array" ref="E286">_xlfn.XLOOKUP(C286,customers[Customer ID],customers[Age],"")</f>
        <v>22</v>
      </c>
      <c r="F286" s="46" t="str" cm="1">
        <f t="array" ref="F286">_xlfn.XLOOKUP(C286,customers[Customer ID],customers[City],"")</f>
        <v>Cleveland</v>
      </c>
      <c r="G286">
        <v>61</v>
      </c>
      <c r="H286" s="47" t="s">
        <v>36</v>
      </c>
      <c r="I286" s="48">
        <v>45012</v>
      </c>
      <c r="J286">
        <v>140</v>
      </c>
      <c r="K286">
        <v>1.8</v>
      </c>
      <c r="L286">
        <f>IF(MONTH(calls[[#This Row],[Date of Call]])&lt;=6,YEAR(calls[[#This Row],[Date of Call]]),YEAR(calls[[#This Row],[Date of Call]])+1)</f>
        <v>2023</v>
      </c>
      <c r="M286" t="str">
        <f>TEXT(calls[[#This Row],[Date of Call]],"DDDD")</f>
        <v>Monday</v>
      </c>
      <c r="N286" t="str" cm="1">
        <f t="array" ref="N28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86">
        <f>ROUND(calls[[#This Row],[Satisfaction Rating]],0)</f>
        <v>2</v>
      </c>
      <c r="P286" s="53">
        <f t="shared" si="4"/>
        <v>307</v>
      </c>
    </row>
    <row r="287" spans="2:16">
      <c r="B287" t="s">
        <v>367</v>
      </c>
      <c r="C287" t="s">
        <v>62</v>
      </c>
      <c r="D287" s="46" t="str" cm="1">
        <f t="array" ref="D287">_xlfn.XLOOKUP(C287,customers[Customer ID],customers[Gender],"")</f>
        <v>Female</v>
      </c>
      <c r="E287" s="46" cm="1">
        <f t="array" ref="E287">_xlfn.XLOOKUP(C287,customers[Customer ID],customers[Age],"")</f>
        <v>28</v>
      </c>
      <c r="F287" s="46" t="str" cm="1">
        <f t="array" ref="F287">_xlfn.XLOOKUP(C287,customers[Customer ID],customers[City],"")</f>
        <v>Cincinnati</v>
      </c>
      <c r="G287">
        <v>126</v>
      </c>
      <c r="H287" s="47" t="s">
        <v>37</v>
      </c>
      <c r="I287" s="48">
        <v>45012</v>
      </c>
      <c r="J287">
        <v>128</v>
      </c>
      <c r="K287">
        <v>4.2</v>
      </c>
      <c r="L287">
        <f>IF(MONTH(calls[[#This Row],[Date of Call]])&lt;=6,YEAR(calls[[#This Row],[Date of Call]]),YEAR(calls[[#This Row],[Date of Call]])+1)</f>
        <v>2023</v>
      </c>
      <c r="M287" t="str">
        <f>TEXT(calls[[#This Row],[Date of Call]],"DDDD")</f>
        <v>Monday</v>
      </c>
      <c r="N287" t="str" cm="1">
        <f t="array" ref="N28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87">
        <f>ROUND(calls[[#This Row],[Satisfaction Rating]],0)</f>
        <v>4</v>
      </c>
      <c r="P287" s="53">
        <f t="shared" si="4"/>
        <v>307</v>
      </c>
    </row>
    <row r="288" spans="2:16">
      <c r="B288" t="s">
        <v>368</v>
      </c>
      <c r="C288" t="s">
        <v>63</v>
      </c>
      <c r="D288" s="46" t="str" cm="1">
        <f t="array" ref="D288">_xlfn.XLOOKUP(C288,customers[Customer ID],customers[Gender],"")</f>
        <v>Male</v>
      </c>
      <c r="E288" s="46" cm="1">
        <f t="array" ref="E288">_xlfn.XLOOKUP(C288,customers[Customer ID],customers[Age],"")</f>
        <v>31</v>
      </c>
      <c r="F288" s="46" t="str" cm="1">
        <f t="array" ref="F288">_xlfn.XLOOKUP(C288,customers[Customer ID],customers[City],"")</f>
        <v>Cleveland</v>
      </c>
      <c r="G288">
        <v>141</v>
      </c>
      <c r="H288" s="47" t="s">
        <v>38</v>
      </c>
      <c r="I288" s="48">
        <v>45012</v>
      </c>
      <c r="J288">
        <v>80</v>
      </c>
      <c r="K288">
        <v>4.4</v>
      </c>
      <c r="L288">
        <f>IF(MONTH(calls[[#This Row],[Date of Call]])&lt;=6,YEAR(calls[[#This Row],[Date of Call]]),YEAR(calls[[#This Row],[Date of Call]])+1)</f>
        <v>2023</v>
      </c>
      <c r="M288" t="str">
        <f>TEXT(calls[[#This Row],[Date of Call]],"DDDD")</f>
        <v>Monday</v>
      </c>
      <c r="N288" t="str" cm="1">
        <f t="array" ref="N28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88">
        <f>ROUND(calls[[#This Row],[Satisfaction Rating]],0)</f>
        <v>4</v>
      </c>
      <c r="P288" s="53">
        <f t="shared" si="4"/>
        <v>307</v>
      </c>
    </row>
    <row r="289" spans="2:16">
      <c r="B289" t="s">
        <v>369</v>
      </c>
      <c r="C289" t="s">
        <v>61</v>
      </c>
      <c r="D289" s="46" t="str" cm="1">
        <f t="array" ref="D289">_xlfn.XLOOKUP(C289,customers[Customer ID],customers[Gender],"")</f>
        <v>Female</v>
      </c>
      <c r="E289" s="46" cm="1">
        <f t="array" ref="E289">_xlfn.XLOOKUP(C289,customers[Customer ID],customers[Age],"")</f>
        <v>30</v>
      </c>
      <c r="F289" s="46" t="str" cm="1">
        <f t="array" ref="F289">_xlfn.XLOOKUP(C289,customers[Customer ID],customers[City],"")</f>
        <v>Cincinnati</v>
      </c>
      <c r="G289">
        <v>95</v>
      </c>
      <c r="H289" s="47" t="s">
        <v>39</v>
      </c>
      <c r="I289" s="48">
        <v>45012</v>
      </c>
      <c r="J289">
        <v>28</v>
      </c>
      <c r="K289">
        <v>2.7</v>
      </c>
      <c r="L289">
        <f>IF(MONTH(calls[[#This Row],[Date of Call]])&lt;=6,YEAR(calls[[#This Row],[Date of Call]]),YEAR(calls[[#This Row],[Date of Call]])+1)</f>
        <v>2023</v>
      </c>
      <c r="M289" t="str">
        <f>TEXT(calls[[#This Row],[Date of Call]],"DDDD")</f>
        <v>Monday</v>
      </c>
      <c r="N289" t="str" cm="1">
        <f t="array" ref="N2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89">
        <f>ROUND(calls[[#This Row],[Satisfaction Rating]],0)</f>
        <v>3</v>
      </c>
      <c r="P289" s="53">
        <f t="shared" si="4"/>
        <v>307</v>
      </c>
    </row>
    <row r="290" spans="2:16">
      <c r="B290" t="s">
        <v>370</v>
      </c>
      <c r="C290" t="s">
        <v>68</v>
      </c>
      <c r="D290" s="46" t="str" cm="1">
        <f t="array" ref="D290">_xlfn.XLOOKUP(C290,customers[Customer ID],customers[Gender],"")</f>
        <v>Female</v>
      </c>
      <c r="E290" s="46" cm="1">
        <f t="array" ref="E290">_xlfn.XLOOKUP(C290,customers[Customer ID],customers[Age],"")</f>
        <v>43</v>
      </c>
      <c r="F290" s="46" t="str" cm="1">
        <f t="array" ref="F290">_xlfn.XLOOKUP(C290,customers[Customer ID],customers[City],"")</f>
        <v>Cleveland</v>
      </c>
      <c r="G290">
        <v>39</v>
      </c>
      <c r="H290" s="47" t="s">
        <v>36</v>
      </c>
      <c r="I290" s="48">
        <v>45013</v>
      </c>
      <c r="J290">
        <v>81</v>
      </c>
      <c r="K290">
        <v>5</v>
      </c>
      <c r="L290">
        <f>IF(MONTH(calls[[#This Row],[Date of Call]])&lt;=6,YEAR(calls[[#This Row],[Date of Call]]),YEAR(calls[[#This Row],[Date of Call]])+1)</f>
        <v>2023</v>
      </c>
      <c r="M290" t="str">
        <f>TEXT(calls[[#This Row],[Date of Call]],"DDDD")</f>
        <v>Tuesday</v>
      </c>
      <c r="N290" t="str" cm="1">
        <f t="array" ref="N29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90">
        <f>ROUND(calls[[#This Row],[Satisfaction Rating]],0)</f>
        <v>5</v>
      </c>
      <c r="P290" s="53">
        <f t="shared" si="4"/>
        <v>307</v>
      </c>
    </row>
    <row r="291" spans="2:16">
      <c r="B291" t="s">
        <v>371</v>
      </c>
      <c r="C291" t="s">
        <v>60</v>
      </c>
      <c r="D291" s="46" t="str" cm="1">
        <f t="array" ref="D291">_xlfn.XLOOKUP(C291,customers[Customer ID],customers[Gender],"")</f>
        <v>Male</v>
      </c>
      <c r="E291" s="46" cm="1">
        <f t="array" ref="E291">_xlfn.XLOOKUP(C291,customers[Customer ID],customers[Age],"")</f>
        <v>36</v>
      </c>
      <c r="F291" s="46" t="str" cm="1">
        <f t="array" ref="F291">_xlfn.XLOOKUP(C291,customers[Customer ID],customers[City],"")</f>
        <v>Cincinnati</v>
      </c>
      <c r="G291">
        <v>127</v>
      </c>
      <c r="H291" s="47" t="s">
        <v>37</v>
      </c>
      <c r="I291" s="48">
        <v>45013</v>
      </c>
      <c r="J291">
        <v>99</v>
      </c>
      <c r="K291">
        <v>3.9</v>
      </c>
      <c r="L291">
        <f>IF(MONTH(calls[[#This Row],[Date of Call]])&lt;=6,YEAR(calls[[#This Row],[Date of Call]]),YEAR(calls[[#This Row],[Date of Call]])+1)</f>
        <v>2023</v>
      </c>
      <c r="M291" t="str">
        <f>TEXT(calls[[#This Row],[Date of Call]],"DDDD")</f>
        <v>Tuesday</v>
      </c>
      <c r="N291" t="str" cm="1">
        <f t="array" ref="N29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291">
        <f>ROUND(calls[[#This Row],[Satisfaction Rating]],0)</f>
        <v>4</v>
      </c>
      <c r="P291" s="53">
        <f t="shared" si="4"/>
        <v>307</v>
      </c>
    </row>
    <row r="292" spans="2:16">
      <c r="B292" t="s">
        <v>372</v>
      </c>
      <c r="C292" t="s">
        <v>64</v>
      </c>
      <c r="D292" s="46" t="str" cm="1">
        <f t="array" ref="D292">_xlfn.XLOOKUP(C292,customers[Customer ID],customers[Gender],"")</f>
        <v>Female</v>
      </c>
      <c r="E292" s="46" cm="1">
        <f t="array" ref="E292">_xlfn.XLOOKUP(C292,customers[Customer ID],customers[Age],"")</f>
        <v>22</v>
      </c>
      <c r="F292" s="46" t="str" cm="1">
        <f t="array" ref="F292">_xlfn.XLOOKUP(C292,customers[Customer ID],customers[City],"")</f>
        <v>Cleveland</v>
      </c>
      <c r="G292">
        <v>78</v>
      </c>
      <c r="H292" s="47" t="s">
        <v>37</v>
      </c>
      <c r="I292" s="48">
        <v>45013</v>
      </c>
      <c r="J292">
        <v>43</v>
      </c>
      <c r="K292">
        <v>3.8</v>
      </c>
      <c r="L292">
        <f>IF(MONTH(calls[[#This Row],[Date of Call]])&lt;=6,YEAR(calls[[#This Row],[Date of Call]]),YEAR(calls[[#This Row],[Date of Call]])+1)</f>
        <v>2023</v>
      </c>
      <c r="M292" t="str">
        <f>TEXT(calls[[#This Row],[Date of Call]],"DDDD")</f>
        <v>Tuesday</v>
      </c>
      <c r="N292" t="str" cm="1">
        <f t="array" ref="N29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92">
        <f>ROUND(calls[[#This Row],[Satisfaction Rating]],0)</f>
        <v>4</v>
      </c>
      <c r="P292" s="53">
        <f t="shared" si="4"/>
        <v>307</v>
      </c>
    </row>
    <row r="293" spans="2:16">
      <c r="B293" t="s">
        <v>373</v>
      </c>
      <c r="C293" t="s">
        <v>67</v>
      </c>
      <c r="D293" s="46" t="str" cm="1">
        <f t="array" ref="D293">_xlfn.XLOOKUP(C293,customers[Customer ID],customers[Gender],"")</f>
        <v>Female</v>
      </c>
      <c r="E293" s="46" cm="1">
        <f t="array" ref="E293">_xlfn.XLOOKUP(C293,customers[Customer ID],customers[Age],"")</f>
        <v>37</v>
      </c>
      <c r="F293" s="46" t="str" cm="1">
        <f t="array" ref="F293">_xlfn.XLOOKUP(C293,customers[Customer ID],customers[City],"")</f>
        <v>Cleveland</v>
      </c>
      <c r="G293">
        <v>40</v>
      </c>
      <c r="H293" s="47" t="s">
        <v>37</v>
      </c>
      <c r="I293" s="48">
        <v>45013</v>
      </c>
      <c r="J293">
        <v>34</v>
      </c>
      <c r="K293">
        <v>4.6</v>
      </c>
      <c r="L293">
        <f>IF(MONTH(calls[[#This Row],[Date of Call]])&lt;=6,YEAR(calls[[#This Row],[Date of Call]]),YEAR(calls[[#This Row],[Date of Call]])+1)</f>
        <v>2023</v>
      </c>
      <c r="M293" t="str">
        <f>TEXT(calls[[#This Row],[Date of Call]],"DDDD")</f>
        <v>Tuesday</v>
      </c>
      <c r="N293" t="str" cm="1">
        <f t="array" ref="N29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93">
        <f>ROUND(calls[[#This Row],[Satisfaction Rating]],0)</f>
        <v>5</v>
      </c>
      <c r="P293" s="53">
        <f t="shared" si="4"/>
        <v>307</v>
      </c>
    </row>
    <row r="294" spans="2:16">
      <c r="B294" t="s">
        <v>374</v>
      </c>
      <c r="C294" t="s">
        <v>64</v>
      </c>
      <c r="D294" s="46" t="str" cm="1">
        <f t="array" ref="D294">_xlfn.XLOOKUP(C294,customers[Customer ID],customers[Gender],"")</f>
        <v>Female</v>
      </c>
      <c r="E294" s="46" cm="1">
        <f t="array" ref="E294">_xlfn.XLOOKUP(C294,customers[Customer ID],customers[Age],"")</f>
        <v>22</v>
      </c>
      <c r="F294" s="46" t="str" cm="1">
        <f t="array" ref="F294">_xlfn.XLOOKUP(C294,customers[Customer ID],customers[City],"")</f>
        <v>Cleveland</v>
      </c>
      <c r="G294">
        <v>56</v>
      </c>
      <c r="H294" s="47" t="s">
        <v>36</v>
      </c>
      <c r="I294" s="48">
        <v>45013</v>
      </c>
      <c r="J294">
        <v>225</v>
      </c>
      <c r="K294">
        <v>4.6</v>
      </c>
      <c r="L294">
        <f>IF(MONTH(calls[[#This Row],[Date of Call]])&lt;=6,YEAR(calls[[#This Row],[Date of Call]]),YEAR(calls[[#This Row],[Date of Call]])+1)</f>
        <v>2023</v>
      </c>
      <c r="M294" t="str">
        <f>TEXT(calls[[#This Row],[Date of Call]],"DDDD")</f>
        <v>Tuesday</v>
      </c>
      <c r="N294" t="str" cm="1">
        <f t="array" ref="N29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94">
        <f>ROUND(calls[[#This Row],[Satisfaction Rating]],0)</f>
        <v>5</v>
      </c>
      <c r="P294" s="53">
        <f t="shared" si="4"/>
        <v>307</v>
      </c>
    </row>
    <row r="295" spans="2:16">
      <c r="B295" t="s">
        <v>375</v>
      </c>
      <c r="C295" t="s">
        <v>68</v>
      </c>
      <c r="D295" s="46" t="str" cm="1">
        <f t="array" ref="D295">_xlfn.XLOOKUP(C295,customers[Customer ID],customers[Gender],"")</f>
        <v>Female</v>
      </c>
      <c r="E295" s="46" cm="1">
        <f t="array" ref="E295">_xlfn.XLOOKUP(C295,customers[Customer ID],customers[Age],"")</f>
        <v>43</v>
      </c>
      <c r="F295" s="46" t="str" cm="1">
        <f t="array" ref="F295">_xlfn.XLOOKUP(C295,customers[Customer ID],customers[City],"")</f>
        <v>Cleveland</v>
      </c>
      <c r="G295">
        <v>59</v>
      </c>
      <c r="H295" s="47" t="s">
        <v>38</v>
      </c>
      <c r="I295" s="48">
        <v>45013</v>
      </c>
      <c r="J295">
        <v>210</v>
      </c>
      <c r="K295">
        <v>4.5</v>
      </c>
      <c r="L295">
        <f>IF(MONTH(calls[[#This Row],[Date of Call]])&lt;=6,YEAR(calls[[#This Row],[Date of Call]]),YEAR(calls[[#This Row],[Date of Call]])+1)</f>
        <v>2023</v>
      </c>
      <c r="M295" t="str">
        <f>TEXT(calls[[#This Row],[Date of Call]],"DDDD")</f>
        <v>Tuesday</v>
      </c>
      <c r="N295" t="str" cm="1">
        <f t="array" ref="N29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95">
        <f>ROUND(calls[[#This Row],[Satisfaction Rating]],0)</f>
        <v>5</v>
      </c>
      <c r="P295" s="53">
        <f t="shared" si="4"/>
        <v>307</v>
      </c>
    </row>
    <row r="296" spans="2:16">
      <c r="B296" t="s">
        <v>376</v>
      </c>
      <c r="C296" t="s">
        <v>62</v>
      </c>
      <c r="D296" s="46" t="str" cm="1">
        <f t="array" ref="D296">_xlfn.XLOOKUP(C296,customers[Customer ID],customers[Gender],"")</f>
        <v>Female</v>
      </c>
      <c r="E296" s="46" cm="1">
        <f t="array" ref="E296">_xlfn.XLOOKUP(C296,customers[Customer ID],customers[Age],"")</f>
        <v>28</v>
      </c>
      <c r="F296" s="46" t="str" cm="1">
        <f t="array" ref="F296">_xlfn.XLOOKUP(C296,customers[Customer ID],customers[City],"")</f>
        <v>Cincinnati</v>
      </c>
      <c r="G296">
        <v>30</v>
      </c>
      <c r="H296" s="47" t="s">
        <v>37</v>
      </c>
      <c r="I296" s="48">
        <v>45013</v>
      </c>
      <c r="J296">
        <v>168</v>
      </c>
      <c r="K296">
        <v>4.2</v>
      </c>
      <c r="L296">
        <f>IF(MONTH(calls[[#This Row],[Date of Call]])&lt;=6,YEAR(calls[[#This Row],[Date of Call]]),YEAR(calls[[#This Row],[Date of Call]])+1)</f>
        <v>2023</v>
      </c>
      <c r="M296" t="str">
        <f>TEXT(calls[[#This Row],[Date of Call]],"DDDD")</f>
        <v>Tuesday</v>
      </c>
      <c r="N296" t="str" cm="1">
        <f t="array" ref="N29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296">
        <f>ROUND(calls[[#This Row],[Satisfaction Rating]],0)</f>
        <v>4</v>
      </c>
      <c r="P296" s="53">
        <f t="shared" si="4"/>
        <v>307</v>
      </c>
    </row>
    <row r="297" spans="2:16">
      <c r="B297" t="s">
        <v>377</v>
      </c>
      <c r="C297" t="s">
        <v>67</v>
      </c>
      <c r="D297" s="46" t="str" cm="1">
        <f t="array" ref="D297">_xlfn.XLOOKUP(C297,customers[Customer ID],customers[Gender],"")</f>
        <v>Female</v>
      </c>
      <c r="E297" s="46" cm="1">
        <f t="array" ref="E297">_xlfn.XLOOKUP(C297,customers[Customer ID],customers[Age],"")</f>
        <v>37</v>
      </c>
      <c r="F297" s="46" t="str" cm="1">
        <f t="array" ref="F297">_xlfn.XLOOKUP(C297,customers[Customer ID],customers[City],"")</f>
        <v>Cleveland</v>
      </c>
      <c r="G297">
        <v>63</v>
      </c>
      <c r="H297" s="47" t="s">
        <v>40</v>
      </c>
      <c r="I297" s="48">
        <v>45014</v>
      </c>
      <c r="J297">
        <v>82</v>
      </c>
      <c r="K297">
        <v>4.5</v>
      </c>
      <c r="L297">
        <f>IF(MONTH(calls[[#This Row],[Date of Call]])&lt;=6,YEAR(calls[[#This Row],[Date of Call]]),YEAR(calls[[#This Row],[Date of Call]])+1)</f>
        <v>2023</v>
      </c>
      <c r="M297" t="str">
        <f>TEXT(calls[[#This Row],[Date of Call]],"DDDD")</f>
        <v>Wednesday</v>
      </c>
      <c r="N297" t="str" cm="1">
        <f t="array" ref="N29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97">
        <f>ROUND(calls[[#This Row],[Satisfaction Rating]],0)</f>
        <v>5</v>
      </c>
      <c r="P297" s="53">
        <f t="shared" si="4"/>
        <v>307</v>
      </c>
    </row>
    <row r="298" spans="2:16">
      <c r="B298" t="s">
        <v>378</v>
      </c>
      <c r="C298" t="s">
        <v>70</v>
      </c>
      <c r="D298" s="46" t="str" cm="1">
        <f t="array" ref="D298">_xlfn.XLOOKUP(C298,customers[Customer ID],customers[Gender],"")</f>
        <v>Male</v>
      </c>
      <c r="E298" s="46" cm="1">
        <f t="array" ref="E298">_xlfn.XLOOKUP(C298,customers[Customer ID],customers[Age],"")</f>
        <v>37</v>
      </c>
      <c r="F298" s="46" t="str" cm="1">
        <f t="array" ref="F298">_xlfn.XLOOKUP(C298,customers[Customer ID],customers[City],"")</f>
        <v>Columbus</v>
      </c>
      <c r="G298">
        <v>56</v>
      </c>
      <c r="H298" s="47" t="s">
        <v>39</v>
      </c>
      <c r="I298" s="48">
        <v>45014</v>
      </c>
      <c r="J298">
        <v>88</v>
      </c>
      <c r="K298">
        <v>4.1</v>
      </c>
      <c r="L298">
        <f>IF(MONTH(calls[[#This Row],[Date of Call]])&lt;=6,YEAR(calls[[#This Row],[Date of Call]]),YEAR(calls[[#This Row],[Date of Call]])+1)</f>
        <v>2023</v>
      </c>
      <c r="M298" t="str">
        <f>TEXT(calls[[#This Row],[Date of Call]],"DDDD")</f>
        <v>Wednesday</v>
      </c>
      <c r="N298" t="str" cm="1">
        <f t="array" ref="N29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298">
        <f>ROUND(calls[[#This Row],[Satisfaction Rating]],0)</f>
        <v>4</v>
      </c>
      <c r="P298" s="53">
        <f t="shared" si="4"/>
        <v>307</v>
      </c>
    </row>
    <row r="299" spans="2:16">
      <c r="B299" t="s">
        <v>379</v>
      </c>
      <c r="C299" t="s">
        <v>65</v>
      </c>
      <c r="D299" s="46" t="str" cm="1">
        <f t="array" ref="D299">_xlfn.XLOOKUP(C299,customers[Customer ID],customers[Gender],"")</f>
        <v>Female</v>
      </c>
      <c r="E299" s="46" cm="1">
        <f t="array" ref="E299">_xlfn.XLOOKUP(C299,customers[Customer ID],customers[Age],"")</f>
        <v>42</v>
      </c>
      <c r="F299" s="46" t="str" cm="1">
        <f t="array" ref="F299">_xlfn.XLOOKUP(C299,customers[Customer ID],customers[City],"")</f>
        <v>Cleveland</v>
      </c>
      <c r="G299">
        <v>95</v>
      </c>
      <c r="H299" s="47" t="s">
        <v>40</v>
      </c>
      <c r="I299" s="48">
        <v>45014</v>
      </c>
      <c r="J299">
        <v>111</v>
      </c>
      <c r="K299">
        <v>3.3</v>
      </c>
      <c r="L299">
        <f>IF(MONTH(calls[[#This Row],[Date of Call]])&lt;=6,YEAR(calls[[#This Row],[Date of Call]]),YEAR(calls[[#This Row],[Date of Call]])+1)</f>
        <v>2023</v>
      </c>
      <c r="M299" t="str">
        <f>TEXT(calls[[#This Row],[Date of Call]],"DDDD")</f>
        <v>Wednesday</v>
      </c>
      <c r="N299" t="str" cm="1">
        <f t="array" ref="N29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299">
        <f>ROUND(calls[[#This Row],[Satisfaction Rating]],0)</f>
        <v>3</v>
      </c>
      <c r="P299" s="53">
        <f t="shared" si="4"/>
        <v>307</v>
      </c>
    </row>
    <row r="300" spans="2:16">
      <c r="B300" t="s">
        <v>380</v>
      </c>
      <c r="C300" t="s">
        <v>69</v>
      </c>
      <c r="D300" s="46" t="str" cm="1">
        <f t="array" ref="D300">_xlfn.XLOOKUP(C300,customers[Customer ID],customers[Gender],"")</f>
        <v>Male</v>
      </c>
      <c r="E300" s="46" cm="1">
        <f t="array" ref="E300">_xlfn.XLOOKUP(C300,customers[Customer ID],customers[Age],"")</f>
        <v>41</v>
      </c>
      <c r="F300" s="46" t="str" cm="1">
        <f t="array" ref="F300">_xlfn.XLOOKUP(C300,customers[Customer ID],customers[City],"")</f>
        <v>Columbus</v>
      </c>
      <c r="G300">
        <v>128</v>
      </c>
      <c r="H300" s="47" t="s">
        <v>38</v>
      </c>
      <c r="I300" s="48">
        <v>45014</v>
      </c>
      <c r="J300">
        <v>60</v>
      </c>
      <c r="K300">
        <v>3.8</v>
      </c>
      <c r="L300">
        <f>IF(MONTH(calls[[#This Row],[Date of Call]])&lt;=6,YEAR(calls[[#This Row],[Date of Call]]),YEAR(calls[[#This Row],[Date of Call]])+1)</f>
        <v>2023</v>
      </c>
      <c r="M300" t="str">
        <f>TEXT(calls[[#This Row],[Date of Call]],"DDDD")</f>
        <v>Wednesday</v>
      </c>
      <c r="N300" t="str" cm="1">
        <f t="array" ref="N30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00">
        <f>ROUND(calls[[#This Row],[Satisfaction Rating]],0)</f>
        <v>4</v>
      </c>
      <c r="P300" s="53">
        <f t="shared" si="4"/>
        <v>307</v>
      </c>
    </row>
    <row r="301" spans="2:16">
      <c r="B301" t="s">
        <v>381</v>
      </c>
      <c r="C301" t="s">
        <v>61</v>
      </c>
      <c r="D301" s="46" t="str" cm="1">
        <f t="array" ref="D301">_xlfn.XLOOKUP(C301,customers[Customer ID],customers[Gender],"")</f>
        <v>Female</v>
      </c>
      <c r="E301" s="46" cm="1">
        <f t="array" ref="E301">_xlfn.XLOOKUP(C301,customers[Customer ID],customers[Age],"")</f>
        <v>30</v>
      </c>
      <c r="F301" s="46" t="str" cm="1">
        <f t="array" ref="F301">_xlfn.XLOOKUP(C301,customers[Customer ID],customers[City],"")</f>
        <v>Cincinnati</v>
      </c>
      <c r="G301">
        <v>49</v>
      </c>
      <c r="H301" s="47" t="s">
        <v>40</v>
      </c>
      <c r="I301" s="48">
        <v>45014</v>
      </c>
      <c r="J301">
        <v>80</v>
      </c>
      <c r="K301">
        <v>3</v>
      </c>
      <c r="L301">
        <f>IF(MONTH(calls[[#This Row],[Date of Call]])&lt;=6,YEAR(calls[[#This Row],[Date of Call]]),YEAR(calls[[#This Row],[Date of Call]])+1)</f>
        <v>2023</v>
      </c>
      <c r="M301" t="str">
        <f>TEXT(calls[[#This Row],[Date of Call]],"DDDD")</f>
        <v>Wednesday</v>
      </c>
      <c r="N301" t="str" cm="1">
        <f t="array" ref="N30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01">
        <f>ROUND(calls[[#This Row],[Satisfaction Rating]],0)</f>
        <v>3</v>
      </c>
      <c r="P301" s="53">
        <f t="shared" si="4"/>
        <v>307</v>
      </c>
    </row>
    <row r="302" spans="2:16">
      <c r="B302" t="s">
        <v>382</v>
      </c>
      <c r="C302" t="s">
        <v>69</v>
      </c>
      <c r="D302" s="46" t="str" cm="1">
        <f t="array" ref="D302">_xlfn.XLOOKUP(C302,customers[Customer ID],customers[Gender],"")</f>
        <v>Male</v>
      </c>
      <c r="E302" s="46" cm="1">
        <f t="array" ref="E302">_xlfn.XLOOKUP(C302,customers[Customer ID],customers[Age],"")</f>
        <v>41</v>
      </c>
      <c r="F302" s="46" t="str" cm="1">
        <f t="array" ref="F302">_xlfn.XLOOKUP(C302,customers[Customer ID],customers[City],"")</f>
        <v>Columbus</v>
      </c>
      <c r="G302">
        <v>89</v>
      </c>
      <c r="H302" s="47" t="s">
        <v>36</v>
      </c>
      <c r="I302" s="48">
        <v>45016</v>
      </c>
      <c r="J302">
        <v>90</v>
      </c>
      <c r="K302">
        <v>4.6</v>
      </c>
      <c r="L302">
        <f>IF(MONTH(calls[[#This Row],[Date of Call]])&lt;=6,YEAR(calls[[#This Row],[Date of Call]]),YEAR(calls[[#This Row],[Date of Call]])+1)</f>
        <v>2023</v>
      </c>
      <c r="M302" t="str">
        <f>TEXT(calls[[#This Row],[Date of Call]],"DDDD")</f>
        <v>Friday</v>
      </c>
      <c r="N302" t="str" cm="1">
        <f t="array" ref="N3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02">
        <f>ROUND(calls[[#This Row],[Satisfaction Rating]],0)</f>
        <v>5</v>
      </c>
      <c r="P302" s="53">
        <f t="shared" si="4"/>
        <v>307</v>
      </c>
    </row>
    <row r="303" spans="2:16">
      <c r="B303" t="s">
        <v>383</v>
      </c>
      <c r="C303" t="s">
        <v>72</v>
      </c>
      <c r="D303" s="46" t="str" cm="1">
        <f t="array" ref="D303">_xlfn.XLOOKUP(C303,customers[Customer ID],customers[Gender],"")</f>
        <v>Female</v>
      </c>
      <c r="E303" s="46" cm="1">
        <f t="array" ref="E303">_xlfn.XLOOKUP(C303,customers[Customer ID],customers[Age],"")</f>
        <v>25</v>
      </c>
      <c r="F303" s="46" t="str" cm="1">
        <f t="array" ref="F303">_xlfn.XLOOKUP(C303,customers[Customer ID],customers[City],"")</f>
        <v>Columbus</v>
      </c>
      <c r="G303">
        <v>87</v>
      </c>
      <c r="H303" s="47" t="s">
        <v>40</v>
      </c>
      <c r="I303" s="48">
        <v>45016</v>
      </c>
      <c r="J303">
        <v>225</v>
      </c>
      <c r="K303">
        <v>2.9</v>
      </c>
      <c r="L303">
        <f>IF(MONTH(calls[[#This Row],[Date of Call]])&lt;=6,YEAR(calls[[#This Row],[Date of Call]]),YEAR(calls[[#This Row],[Date of Call]])+1)</f>
        <v>2023</v>
      </c>
      <c r="M303" t="str">
        <f>TEXT(calls[[#This Row],[Date of Call]],"DDDD")</f>
        <v>Friday</v>
      </c>
      <c r="N303" t="str" cm="1">
        <f t="array" ref="N3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03">
        <f>ROUND(calls[[#This Row],[Satisfaction Rating]],0)</f>
        <v>3</v>
      </c>
      <c r="P303" s="53">
        <f t="shared" si="4"/>
        <v>307</v>
      </c>
    </row>
    <row r="304" spans="2:16">
      <c r="B304" t="s">
        <v>384</v>
      </c>
      <c r="C304" t="s">
        <v>59</v>
      </c>
      <c r="D304" s="46" t="str" cm="1">
        <f t="array" ref="D304">_xlfn.XLOOKUP(C304,customers[Customer ID],customers[Gender],"")</f>
        <v>Male</v>
      </c>
      <c r="E304" s="46" cm="1">
        <f t="array" ref="E304">_xlfn.XLOOKUP(C304,customers[Customer ID],customers[Age],"")</f>
        <v>26</v>
      </c>
      <c r="F304" s="46" t="str" cm="1">
        <f t="array" ref="F304">_xlfn.XLOOKUP(C304,customers[Customer ID],customers[City],"")</f>
        <v>Cincinnati</v>
      </c>
      <c r="G304">
        <v>60</v>
      </c>
      <c r="H304" s="47" t="s">
        <v>37</v>
      </c>
      <c r="I304" s="48">
        <v>45017</v>
      </c>
      <c r="J304">
        <v>215</v>
      </c>
      <c r="K304">
        <v>3.2</v>
      </c>
      <c r="L304">
        <f>IF(MONTH(calls[[#This Row],[Date of Call]])&lt;=6,YEAR(calls[[#This Row],[Date of Call]]),YEAR(calls[[#This Row],[Date of Call]])+1)</f>
        <v>2023</v>
      </c>
      <c r="M304" t="str">
        <f>TEXT(calls[[#This Row],[Date of Call]],"DDDD")</f>
        <v>Saturday</v>
      </c>
      <c r="N304" t="str" cm="1">
        <f t="array" ref="N30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04">
        <f>ROUND(calls[[#This Row],[Satisfaction Rating]],0)</f>
        <v>3</v>
      </c>
      <c r="P304" s="53">
        <f t="shared" si="4"/>
        <v>307</v>
      </c>
    </row>
    <row r="305" spans="2:16">
      <c r="B305" t="s">
        <v>385</v>
      </c>
      <c r="C305" t="s">
        <v>73</v>
      </c>
      <c r="D305" s="46" t="str" cm="1">
        <f t="array" ref="D305">_xlfn.XLOOKUP(C305,customers[Customer ID],customers[Gender],"")</f>
        <v>Female</v>
      </c>
      <c r="E305" s="46" cm="1">
        <f t="array" ref="E305">_xlfn.XLOOKUP(C305,customers[Customer ID],customers[Age],"")</f>
        <v>38</v>
      </c>
      <c r="F305" s="46" t="str" cm="1">
        <f t="array" ref="F305">_xlfn.XLOOKUP(C305,customers[Customer ID],customers[City],"")</f>
        <v>Columbus</v>
      </c>
      <c r="G305">
        <v>42</v>
      </c>
      <c r="H305" s="47" t="s">
        <v>36</v>
      </c>
      <c r="I305" s="48">
        <v>45017</v>
      </c>
      <c r="J305">
        <v>45</v>
      </c>
      <c r="K305">
        <v>1.5</v>
      </c>
      <c r="L305">
        <f>IF(MONTH(calls[[#This Row],[Date of Call]])&lt;=6,YEAR(calls[[#This Row],[Date of Call]]),YEAR(calls[[#This Row],[Date of Call]])+1)</f>
        <v>2023</v>
      </c>
      <c r="M305" t="str">
        <f>TEXT(calls[[#This Row],[Date of Call]],"DDDD")</f>
        <v>Saturday</v>
      </c>
      <c r="N305" t="str" cm="1">
        <f t="array" ref="N30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05">
        <f>ROUND(calls[[#This Row],[Satisfaction Rating]],0)</f>
        <v>2</v>
      </c>
      <c r="P305" s="53">
        <f t="shared" si="4"/>
        <v>307</v>
      </c>
    </row>
    <row r="306" spans="2:16">
      <c r="B306" t="s">
        <v>386</v>
      </c>
      <c r="C306" t="s">
        <v>66</v>
      </c>
      <c r="D306" s="46" t="str" cm="1">
        <f t="array" ref="D306">_xlfn.XLOOKUP(C306,customers[Customer ID],customers[Gender],"")</f>
        <v>Female</v>
      </c>
      <c r="E306" s="46" cm="1">
        <f t="array" ref="E306">_xlfn.XLOOKUP(C306,customers[Customer ID],customers[Age],"")</f>
        <v>30</v>
      </c>
      <c r="F306" s="46" t="str" cm="1">
        <f t="array" ref="F306">_xlfn.XLOOKUP(C306,customers[Customer ID],customers[City],"")</f>
        <v>Cleveland</v>
      </c>
      <c r="G306">
        <v>99</v>
      </c>
      <c r="H306" s="47" t="s">
        <v>37</v>
      </c>
      <c r="I306" s="48">
        <v>45017</v>
      </c>
      <c r="J306">
        <v>74</v>
      </c>
      <c r="K306">
        <v>4</v>
      </c>
      <c r="L306">
        <f>IF(MONTH(calls[[#This Row],[Date of Call]])&lt;=6,YEAR(calls[[#This Row],[Date of Call]]),YEAR(calls[[#This Row],[Date of Call]])+1)</f>
        <v>2023</v>
      </c>
      <c r="M306" t="str">
        <f>TEXT(calls[[#This Row],[Date of Call]],"DDDD")</f>
        <v>Saturday</v>
      </c>
      <c r="N306" t="str" cm="1">
        <f t="array" ref="N30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06">
        <f>ROUND(calls[[#This Row],[Satisfaction Rating]],0)</f>
        <v>4</v>
      </c>
      <c r="P306" s="53">
        <f t="shared" si="4"/>
        <v>307</v>
      </c>
    </row>
    <row r="307" spans="2:16">
      <c r="B307" t="s">
        <v>387</v>
      </c>
      <c r="C307" t="s">
        <v>70</v>
      </c>
      <c r="D307" s="46" t="str" cm="1">
        <f t="array" ref="D307">_xlfn.XLOOKUP(C307,customers[Customer ID],customers[Gender],"")</f>
        <v>Male</v>
      </c>
      <c r="E307" s="46" cm="1">
        <f t="array" ref="E307">_xlfn.XLOOKUP(C307,customers[Customer ID],customers[Age],"")</f>
        <v>37</v>
      </c>
      <c r="F307" s="46" t="str" cm="1">
        <f t="array" ref="F307">_xlfn.XLOOKUP(C307,customers[Customer ID],customers[City],"")</f>
        <v>Columbus</v>
      </c>
      <c r="G307">
        <v>20</v>
      </c>
      <c r="H307" s="47" t="s">
        <v>36</v>
      </c>
      <c r="I307" s="48">
        <v>45017</v>
      </c>
      <c r="J307">
        <v>60</v>
      </c>
      <c r="K307">
        <v>3.6</v>
      </c>
      <c r="L307">
        <f>IF(MONTH(calls[[#This Row],[Date of Call]])&lt;=6,YEAR(calls[[#This Row],[Date of Call]]),YEAR(calls[[#This Row],[Date of Call]])+1)</f>
        <v>2023</v>
      </c>
      <c r="M307" t="str">
        <f>TEXT(calls[[#This Row],[Date of Call]],"DDDD")</f>
        <v>Saturday</v>
      </c>
      <c r="N307" t="str" cm="1">
        <f t="array" ref="N30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307">
        <f>ROUND(calls[[#This Row],[Satisfaction Rating]],0)</f>
        <v>4</v>
      </c>
      <c r="P307" s="53">
        <f t="shared" si="4"/>
        <v>307</v>
      </c>
    </row>
    <row r="308" spans="2:16">
      <c r="B308" t="s">
        <v>388</v>
      </c>
      <c r="C308" t="s">
        <v>67</v>
      </c>
      <c r="D308" s="46" t="str" cm="1">
        <f t="array" ref="D308">_xlfn.XLOOKUP(C308,customers[Customer ID],customers[Gender],"")</f>
        <v>Female</v>
      </c>
      <c r="E308" s="46" cm="1">
        <f t="array" ref="E308">_xlfn.XLOOKUP(C308,customers[Customer ID],customers[Age],"")</f>
        <v>37</v>
      </c>
      <c r="F308" s="46" t="str" cm="1">
        <f t="array" ref="F308">_xlfn.XLOOKUP(C308,customers[Customer ID],customers[City],"")</f>
        <v>Cleveland</v>
      </c>
      <c r="G308">
        <v>65</v>
      </c>
      <c r="H308" s="47" t="s">
        <v>37</v>
      </c>
      <c r="I308" s="48">
        <v>45017</v>
      </c>
      <c r="J308">
        <v>64</v>
      </c>
      <c r="K308">
        <v>3.7</v>
      </c>
      <c r="L308">
        <f>IF(MONTH(calls[[#This Row],[Date of Call]])&lt;=6,YEAR(calls[[#This Row],[Date of Call]]),YEAR(calls[[#This Row],[Date of Call]])+1)</f>
        <v>2023</v>
      </c>
      <c r="M308" t="str">
        <f>TEXT(calls[[#This Row],[Date of Call]],"DDDD")</f>
        <v>Saturday</v>
      </c>
      <c r="N308" t="str" cm="1">
        <f t="array" ref="N30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08">
        <f>ROUND(calls[[#This Row],[Satisfaction Rating]],0)</f>
        <v>4</v>
      </c>
      <c r="P308" s="53">
        <f t="shared" si="4"/>
        <v>307</v>
      </c>
    </row>
    <row r="309" spans="2:16">
      <c r="B309" t="s">
        <v>389</v>
      </c>
      <c r="C309" t="s">
        <v>62</v>
      </c>
      <c r="D309" s="46" t="str" cm="1">
        <f t="array" ref="D309">_xlfn.XLOOKUP(C309,customers[Customer ID],customers[Gender],"")</f>
        <v>Female</v>
      </c>
      <c r="E309" s="46" cm="1">
        <f t="array" ref="E309">_xlfn.XLOOKUP(C309,customers[Customer ID],customers[Age],"")</f>
        <v>28</v>
      </c>
      <c r="F309" s="46" t="str" cm="1">
        <f t="array" ref="F309">_xlfn.XLOOKUP(C309,customers[Customer ID],customers[City],"")</f>
        <v>Cincinnati</v>
      </c>
      <c r="G309">
        <v>71</v>
      </c>
      <c r="H309" s="47" t="s">
        <v>40</v>
      </c>
      <c r="I309" s="48">
        <v>45018</v>
      </c>
      <c r="J309">
        <v>110</v>
      </c>
      <c r="K309">
        <v>4.8</v>
      </c>
      <c r="L309">
        <f>IF(MONTH(calls[[#This Row],[Date of Call]])&lt;=6,YEAR(calls[[#This Row],[Date of Call]]),YEAR(calls[[#This Row],[Date of Call]])+1)</f>
        <v>2023</v>
      </c>
      <c r="M309" t="str">
        <f>TEXT(calls[[#This Row],[Date of Call]],"DDDD")</f>
        <v>Sunday</v>
      </c>
      <c r="N309" t="str" cm="1">
        <f t="array" ref="N3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09">
        <f>ROUND(calls[[#This Row],[Satisfaction Rating]],0)</f>
        <v>5</v>
      </c>
      <c r="P309" s="53">
        <f t="shared" si="4"/>
        <v>307</v>
      </c>
    </row>
    <row r="310" spans="2:16">
      <c r="B310" t="s">
        <v>390</v>
      </c>
      <c r="C310" t="s">
        <v>60</v>
      </c>
      <c r="D310" s="46" t="str" cm="1">
        <f t="array" ref="D310">_xlfn.XLOOKUP(C310,customers[Customer ID],customers[Gender],"")</f>
        <v>Male</v>
      </c>
      <c r="E310" s="46" cm="1">
        <f t="array" ref="E310">_xlfn.XLOOKUP(C310,customers[Customer ID],customers[Age],"")</f>
        <v>36</v>
      </c>
      <c r="F310" s="46" t="str" cm="1">
        <f t="array" ref="F310">_xlfn.XLOOKUP(C310,customers[Customer ID],customers[City],"")</f>
        <v>Cincinnati</v>
      </c>
      <c r="G310">
        <v>95</v>
      </c>
      <c r="H310" s="47" t="s">
        <v>38</v>
      </c>
      <c r="I310" s="48">
        <v>45018</v>
      </c>
      <c r="J310">
        <v>52</v>
      </c>
      <c r="K310">
        <v>1.2</v>
      </c>
      <c r="L310">
        <f>IF(MONTH(calls[[#This Row],[Date of Call]])&lt;=6,YEAR(calls[[#This Row],[Date of Call]]),YEAR(calls[[#This Row],[Date of Call]])+1)</f>
        <v>2023</v>
      </c>
      <c r="M310" t="str">
        <f>TEXT(calls[[#This Row],[Date of Call]],"DDDD")</f>
        <v>Sunday</v>
      </c>
      <c r="N310" t="str" cm="1">
        <f t="array" ref="N3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10">
        <f>ROUND(calls[[#This Row],[Satisfaction Rating]],0)</f>
        <v>1</v>
      </c>
      <c r="P310" s="53">
        <f t="shared" si="4"/>
        <v>307</v>
      </c>
    </row>
    <row r="311" spans="2:16">
      <c r="B311" t="s">
        <v>391</v>
      </c>
      <c r="C311" t="s">
        <v>70</v>
      </c>
      <c r="D311" s="46" t="str" cm="1">
        <f t="array" ref="D311">_xlfn.XLOOKUP(C311,customers[Customer ID],customers[Gender],"")</f>
        <v>Male</v>
      </c>
      <c r="E311" s="46" cm="1">
        <f t="array" ref="E311">_xlfn.XLOOKUP(C311,customers[Customer ID],customers[Age],"")</f>
        <v>37</v>
      </c>
      <c r="F311" s="46" t="str" cm="1">
        <f t="array" ref="F311">_xlfn.XLOOKUP(C311,customers[Customer ID],customers[City],"")</f>
        <v>Columbus</v>
      </c>
      <c r="G311">
        <v>81</v>
      </c>
      <c r="H311" s="47" t="s">
        <v>39</v>
      </c>
      <c r="I311" s="48">
        <v>45019</v>
      </c>
      <c r="J311">
        <v>160</v>
      </c>
      <c r="K311">
        <v>4.7</v>
      </c>
      <c r="L311">
        <f>IF(MONTH(calls[[#This Row],[Date of Call]])&lt;=6,YEAR(calls[[#This Row],[Date of Call]]),YEAR(calls[[#This Row],[Date of Call]])+1)</f>
        <v>2023</v>
      </c>
      <c r="M311" t="str">
        <f>TEXT(calls[[#This Row],[Date of Call]],"DDDD")</f>
        <v>Monday</v>
      </c>
      <c r="N311" t="str" cm="1">
        <f t="array" ref="N31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11">
        <f>ROUND(calls[[#This Row],[Satisfaction Rating]],0)</f>
        <v>5</v>
      </c>
      <c r="P311" s="53">
        <f t="shared" si="4"/>
        <v>307</v>
      </c>
    </row>
    <row r="312" spans="2:16">
      <c r="B312" t="s">
        <v>392</v>
      </c>
      <c r="C312" t="s">
        <v>71</v>
      </c>
      <c r="D312" s="46" t="str" cm="1">
        <f t="array" ref="D312">_xlfn.XLOOKUP(C312,customers[Customer ID],customers[Gender],"")</f>
        <v>Male</v>
      </c>
      <c r="E312" s="46" cm="1">
        <f t="array" ref="E312">_xlfn.XLOOKUP(C312,customers[Customer ID],customers[Age],"")</f>
        <v>23</v>
      </c>
      <c r="F312" s="46" t="str" cm="1">
        <f t="array" ref="F312">_xlfn.XLOOKUP(C312,customers[Customer ID],customers[City],"")</f>
        <v>Columbus</v>
      </c>
      <c r="G312">
        <v>137</v>
      </c>
      <c r="H312" s="47" t="s">
        <v>39</v>
      </c>
      <c r="I312" s="48">
        <v>45019</v>
      </c>
      <c r="J312">
        <v>215</v>
      </c>
      <c r="K312">
        <v>4.7</v>
      </c>
      <c r="L312">
        <f>IF(MONTH(calls[[#This Row],[Date of Call]])&lt;=6,YEAR(calls[[#This Row],[Date of Call]]),YEAR(calls[[#This Row],[Date of Call]])+1)</f>
        <v>2023</v>
      </c>
      <c r="M312" t="str">
        <f>TEXT(calls[[#This Row],[Date of Call]],"DDDD")</f>
        <v>Monday</v>
      </c>
      <c r="N312" t="str" cm="1">
        <f t="array" ref="N31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12">
        <f>ROUND(calls[[#This Row],[Satisfaction Rating]],0)</f>
        <v>5</v>
      </c>
      <c r="P312" s="53">
        <f t="shared" si="4"/>
        <v>307</v>
      </c>
    </row>
    <row r="313" spans="2:16">
      <c r="B313" t="s">
        <v>393</v>
      </c>
      <c r="C313" t="s">
        <v>71</v>
      </c>
      <c r="D313" s="46" t="str" cm="1">
        <f t="array" ref="D313">_xlfn.XLOOKUP(C313,customers[Customer ID],customers[Gender],"")</f>
        <v>Male</v>
      </c>
      <c r="E313" s="46" cm="1">
        <f t="array" ref="E313">_xlfn.XLOOKUP(C313,customers[Customer ID],customers[Age],"")</f>
        <v>23</v>
      </c>
      <c r="F313" s="46" t="str" cm="1">
        <f t="array" ref="F313">_xlfn.XLOOKUP(C313,customers[Customer ID],customers[City],"")</f>
        <v>Columbus</v>
      </c>
      <c r="G313">
        <v>40</v>
      </c>
      <c r="H313" s="47" t="s">
        <v>38</v>
      </c>
      <c r="I313" s="48">
        <v>45019</v>
      </c>
      <c r="J313">
        <v>220</v>
      </c>
      <c r="K313">
        <v>4.5</v>
      </c>
      <c r="L313">
        <f>IF(MONTH(calls[[#This Row],[Date of Call]])&lt;=6,YEAR(calls[[#This Row],[Date of Call]]),YEAR(calls[[#This Row],[Date of Call]])+1)</f>
        <v>2023</v>
      </c>
      <c r="M313" t="str">
        <f>TEXT(calls[[#This Row],[Date of Call]],"DDDD")</f>
        <v>Monday</v>
      </c>
      <c r="N313" t="str" cm="1">
        <f t="array" ref="N31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13">
        <f>ROUND(calls[[#This Row],[Satisfaction Rating]],0)</f>
        <v>5</v>
      </c>
      <c r="P313" s="53">
        <f t="shared" si="4"/>
        <v>307</v>
      </c>
    </row>
    <row r="314" spans="2:16">
      <c r="B314" t="s">
        <v>394</v>
      </c>
      <c r="C314" t="s">
        <v>66</v>
      </c>
      <c r="D314" s="46" t="str" cm="1">
        <f t="array" ref="D314">_xlfn.XLOOKUP(C314,customers[Customer ID],customers[Gender],"")</f>
        <v>Female</v>
      </c>
      <c r="E314" s="46" cm="1">
        <f t="array" ref="E314">_xlfn.XLOOKUP(C314,customers[Customer ID],customers[Age],"")</f>
        <v>30</v>
      </c>
      <c r="F314" s="46" t="str" cm="1">
        <f t="array" ref="F314">_xlfn.XLOOKUP(C314,customers[Customer ID],customers[City],"")</f>
        <v>Cleveland</v>
      </c>
      <c r="G314">
        <v>111</v>
      </c>
      <c r="H314" s="47" t="s">
        <v>37</v>
      </c>
      <c r="I314" s="48">
        <v>45020</v>
      </c>
      <c r="J314">
        <v>175</v>
      </c>
      <c r="K314">
        <v>3.5</v>
      </c>
      <c r="L314">
        <f>IF(MONTH(calls[[#This Row],[Date of Call]])&lt;=6,YEAR(calls[[#This Row],[Date of Call]]),YEAR(calls[[#This Row],[Date of Call]])+1)</f>
        <v>2023</v>
      </c>
      <c r="M314" t="str">
        <f>TEXT(calls[[#This Row],[Date of Call]],"DDDD")</f>
        <v>Tuesday</v>
      </c>
      <c r="N314" t="str" cm="1">
        <f t="array" ref="N3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14">
        <f>ROUND(calls[[#This Row],[Satisfaction Rating]],0)</f>
        <v>4</v>
      </c>
      <c r="P314" s="53">
        <f t="shared" si="4"/>
        <v>307</v>
      </c>
    </row>
    <row r="315" spans="2:16">
      <c r="B315" t="s">
        <v>395</v>
      </c>
      <c r="C315" t="s">
        <v>62</v>
      </c>
      <c r="D315" s="46" t="str" cm="1">
        <f t="array" ref="D315">_xlfn.XLOOKUP(C315,customers[Customer ID],customers[Gender],"")</f>
        <v>Female</v>
      </c>
      <c r="E315" s="46" cm="1">
        <f t="array" ref="E315">_xlfn.XLOOKUP(C315,customers[Customer ID],customers[Age],"")</f>
        <v>28</v>
      </c>
      <c r="F315" s="46" t="str" cm="1">
        <f t="array" ref="F315">_xlfn.XLOOKUP(C315,customers[Customer ID],customers[City],"")</f>
        <v>Cincinnati</v>
      </c>
      <c r="G315">
        <v>106</v>
      </c>
      <c r="H315" s="47" t="s">
        <v>37</v>
      </c>
      <c r="I315" s="48">
        <v>45020</v>
      </c>
      <c r="J315">
        <v>145</v>
      </c>
      <c r="K315">
        <v>4.1</v>
      </c>
      <c r="L315">
        <f>IF(MONTH(calls[[#This Row],[Date of Call]])&lt;=6,YEAR(calls[[#This Row],[Date of Call]]),YEAR(calls[[#This Row],[Date of Call]])+1)</f>
        <v>2023</v>
      </c>
      <c r="M315" t="str">
        <f>TEXT(calls[[#This Row],[Date of Call]],"DDDD")</f>
        <v>Tuesday</v>
      </c>
      <c r="N315" t="str" cm="1">
        <f t="array" ref="N31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15">
        <f>ROUND(calls[[#This Row],[Satisfaction Rating]],0)</f>
        <v>4</v>
      </c>
      <c r="P315" s="53">
        <f t="shared" si="4"/>
        <v>307</v>
      </c>
    </row>
    <row r="316" spans="2:16">
      <c r="B316" t="s">
        <v>396</v>
      </c>
      <c r="C316" t="s">
        <v>73</v>
      </c>
      <c r="D316" s="46" t="str" cm="1">
        <f t="array" ref="D316">_xlfn.XLOOKUP(C316,customers[Customer ID],customers[Gender],"")</f>
        <v>Female</v>
      </c>
      <c r="E316" s="46" cm="1">
        <f t="array" ref="E316">_xlfn.XLOOKUP(C316,customers[Customer ID],customers[Age],"")</f>
        <v>38</v>
      </c>
      <c r="F316" s="46" t="str" cm="1">
        <f t="array" ref="F316">_xlfn.XLOOKUP(C316,customers[Customer ID],customers[City],"")</f>
        <v>Columbus</v>
      </c>
      <c r="G316">
        <v>133</v>
      </c>
      <c r="H316" s="47" t="s">
        <v>36</v>
      </c>
      <c r="I316" s="48">
        <v>45020</v>
      </c>
      <c r="J316">
        <v>72</v>
      </c>
      <c r="K316">
        <v>4.4</v>
      </c>
      <c r="L316">
        <f>IF(MONTH(calls[[#This Row],[Date of Call]])&lt;=6,YEAR(calls[[#This Row],[Date of Call]]),YEAR(calls[[#This Row],[Date of Call]])+1)</f>
        <v>2023</v>
      </c>
      <c r="M316" t="str">
        <f>TEXT(calls[[#This Row],[Date of Call]],"DDDD")</f>
        <v>Tuesday</v>
      </c>
      <c r="N316" t="str" cm="1">
        <f t="array" ref="N31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16">
        <f>ROUND(calls[[#This Row],[Satisfaction Rating]],0)</f>
        <v>4</v>
      </c>
      <c r="P316" s="53">
        <f t="shared" si="4"/>
        <v>307</v>
      </c>
    </row>
    <row r="317" spans="2:16">
      <c r="B317" t="s">
        <v>397</v>
      </c>
      <c r="C317" t="s">
        <v>64</v>
      </c>
      <c r="D317" s="46" t="str" cm="1">
        <f t="array" ref="D317">_xlfn.XLOOKUP(C317,customers[Customer ID],customers[Gender],"")</f>
        <v>Female</v>
      </c>
      <c r="E317" s="46" cm="1">
        <f t="array" ref="E317">_xlfn.XLOOKUP(C317,customers[Customer ID],customers[Age],"")</f>
        <v>22</v>
      </c>
      <c r="F317" s="46" t="str" cm="1">
        <f t="array" ref="F317">_xlfn.XLOOKUP(C317,customers[Customer ID],customers[City],"")</f>
        <v>Cleveland</v>
      </c>
      <c r="G317">
        <v>38</v>
      </c>
      <c r="H317" s="47" t="s">
        <v>37</v>
      </c>
      <c r="I317" s="48">
        <v>45021</v>
      </c>
      <c r="J317">
        <v>81</v>
      </c>
      <c r="K317">
        <v>3.6</v>
      </c>
      <c r="L317">
        <f>IF(MONTH(calls[[#This Row],[Date of Call]])&lt;=6,YEAR(calls[[#This Row],[Date of Call]]),YEAR(calls[[#This Row],[Date of Call]])+1)</f>
        <v>2023</v>
      </c>
      <c r="M317" t="str">
        <f>TEXT(calls[[#This Row],[Date of Call]],"DDDD")</f>
        <v>Wednesday</v>
      </c>
      <c r="N317" t="str" cm="1">
        <f t="array" ref="N31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17">
        <f>ROUND(calls[[#This Row],[Satisfaction Rating]],0)</f>
        <v>4</v>
      </c>
      <c r="P317" s="53">
        <f t="shared" si="4"/>
        <v>307</v>
      </c>
    </row>
    <row r="318" spans="2:16">
      <c r="B318" t="s">
        <v>398</v>
      </c>
      <c r="C318" t="s">
        <v>68</v>
      </c>
      <c r="D318" s="46" t="str" cm="1">
        <f t="array" ref="D318">_xlfn.XLOOKUP(C318,customers[Customer ID],customers[Gender],"")</f>
        <v>Female</v>
      </c>
      <c r="E318" s="46" cm="1">
        <f t="array" ref="E318">_xlfn.XLOOKUP(C318,customers[Customer ID],customers[Age],"")</f>
        <v>43</v>
      </c>
      <c r="F318" s="46" t="str" cm="1">
        <f t="array" ref="F318">_xlfn.XLOOKUP(C318,customers[Customer ID],customers[City],"")</f>
        <v>Cleveland</v>
      </c>
      <c r="G318">
        <v>130</v>
      </c>
      <c r="H318" s="47" t="s">
        <v>38</v>
      </c>
      <c r="I318" s="48">
        <v>45021</v>
      </c>
      <c r="J318">
        <v>54</v>
      </c>
      <c r="K318">
        <v>4.1</v>
      </c>
      <c r="L318">
        <f>IF(MONTH(calls[[#This Row],[Date of Call]])&lt;=6,YEAR(calls[[#This Row],[Date of Call]]),YEAR(calls[[#This Row],[Date of Call]])+1)</f>
        <v>2023</v>
      </c>
      <c r="M318" t="str">
        <f>TEXT(calls[[#This Row],[Date of Call]],"DDDD")</f>
        <v>Wednesday</v>
      </c>
      <c r="N318" t="str" cm="1">
        <f t="array" ref="N31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18">
        <f>ROUND(calls[[#This Row],[Satisfaction Rating]],0)</f>
        <v>4</v>
      </c>
      <c r="P318" s="53">
        <f t="shared" si="4"/>
        <v>307</v>
      </c>
    </row>
    <row r="319" spans="2:16">
      <c r="B319" t="s">
        <v>399</v>
      </c>
      <c r="C319" t="s">
        <v>67</v>
      </c>
      <c r="D319" s="46" t="str" cm="1">
        <f t="array" ref="D319">_xlfn.XLOOKUP(C319,customers[Customer ID],customers[Gender],"")</f>
        <v>Female</v>
      </c>
      <c r="E319" s="46" cm="1">
        <f t="array" ref="E319">_xlfn.XLOOKUP(C319,customers[Customer ID],customers[Age],"")</f>
        <v>37</v>
      </c>
      <c r="F319" s="46" t="str" cm="1">
        <f t="array" ref="F319">_xlfn.XLOOKUP(C319,customers[Customer ID],customers[City],"")</f>
        <v>Cleveland</v>
      </c>
      <c r="G319">
        <v>23</v>
      </c>
      <c r="H319" s="47" t="s">
        <v>36</v>
      </c>
      <c r="I319" s="48">
        <v>45021</v>
      </c>
      <c r="J319">
        <v>105</v>
      </c>
      <c r="K319">
        <v>4.8</v>
      </c>
      <c r="L319">
        <f>IF(MONTH(calls[[#This Row],[Date of Call]])&lt;=6,YEAR(calls[[#This Row],[Date of Call]]),YEAR(calls[[#This Row],[Date of Call]])+1)</f>
        <v>2023</v>
      </c>
      <c r="M319" t="str">
        <f>TEXT(calls[[#This Row],[Date of Call]],"DDDD")</f>
        <v>Wednesday</v>
      </c>
      <c r="N319" t="str" cm="1">
        <f t="array" ref="N31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319">
        <f>ROUND(calls[[#This Row],[Satisfaction Rating]],0)</f>
        <v>5</v>
      </c>
      <c r="P319" s="53">
        <f t="shared" si="4"/>
        <v>307</v>
      </c>
    </row>
    <row r="320" spans="2:16">
      <c r="B320" t="s">
        <v>400</v>
      </c>
      <c r="C320" t="s">
        <v>68</v>
      </c>
      <c r="D320" s="46" t="str" cm="1">
        <f t="array" ref="D320">_xlfn.XLOOKUP(C320,customers[Customer ID],customers[Gender],"")</f>
        <v>Female</v>
      </c>
      <c r="E320" s="46" cm="1">
        <f t="array" ref="E320">_xlfn.XLOOKUP(C320,customers[Customer ID],customers[Age],"")</f>
        <v>43</v>
      </c>
      <c r="F320" s="46" t="str" cm="1">
        <f t="array" ref="F320">_xlfn.XLOOKUP(C320,customers[Customer ID],customers[City],"")</f>
        <v>Cleveland</v>
      </c>
      <c r="G320">
        <v>124</v>
      </c>
      <c r="H320" s="47" t="s">
        <v>37</v>
      </c>
      <c r="I320" s="48">
        <v>45022</v>
      </c>
      <c r="J320">
        <v>176</v>
      </c>
      <c r="K320">
        <v>3.9</v>
      </c>
      <c r="L320">
        <f>IF(MONTH(calls[[#This Row],[Date of Call]])&lt;=6,YEAR(calls[[#This Row],[Date of Call]]),YEAR(calls[[#This Row],[Date of Call]])+1)</f>
        <v>2023</v>
      </c>
      <c r="M320" t="str">
        <f>TEXT(calls[[#This Row],[Date of Call]],"DDDD")</f>
        <v>Thursday</v>
      </c>
      <c r="N320" t="str" cm="1">
        <f t="array" ref="N32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20">
        <f>ROUND(calls[[#This Row],[Satisfaction Rating]],0)</f>
        <v>4</v>
      </c>
      <c r="P320" s="53">
        <f t="shared" si="4"/>
        <v>307</v>
      </c>
    </row>
    <row r="321" spans="2:16">
      <c r="B321" t="s">
        <v>401</v>
      </c>
      <c r="C321" t="s">
        <v>70</v>
      </c>
      <c r="D321" s="46" t="str" cm="1">
        <f t="array" ref="D321">_xlfn.XLOOKUP(C321,customers[Customer ID],customers[Gender],"")</f>
        <v>Male</v>
      </c>
      <c r="E321" s="46" cm="1">
        <f t="array" ref="E321">_xlfn.XLOOKUP(C321,customers[Customer ID],customers[Age],"")</f>
        <v>37</v>
      </c>
      <c r="F321" s="46" t="str" cm="1">
        <f t="array" ref="F321">_xlfn.XLOOKUP(C321,customers[Customer ID],customers[City],"")</f>
        <v>Columbus</v>
      </c>
      <c r="G321">
        <v>107</v>
      </c>
      <c r="H321" s="47" t="s">
        <v>37</v>
      </c>
      <c r="I321" s="48">
        <v>45022</v>
      </c>
      <c r="J321">
        <v>115</v>
      </c>
      <c r="K321">
        <v>3.8</v>
      </c>
      <c r="L321">
        <f>IF(MONTH(calls[[#This Row],[Date of Call]])&lt;=6,YEAR(calls[[#This Row],[Date of Call]]),YEAR(calls[[#This Row],[Date of Call]])+1)</f>
        <v>2023</v>
      </c>
      <c r="M321" t="str">
        <f>TEXT(calls[[#This Row],[Date of Call]],"DDDD")</f>
        <v>Thursday</v>
      </c>
      <c r="N321" t="str" cm="1">
        <f t="array" ref="N3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21">
        <f>ROUND(calls[[#This Row],[Satisfaction Rating]],0)</f>
        <v>4</v>
      </c>
      <c r="P321" s="53">
        <f t="shared" si="4"/>
        <v>307</v>
      </c>
    </row>
    <row r="322" spans="2:16">
      <c r="B322" t="s">
        <v>402</v>
      </c>
      <c r="C322" t="s">
        <v>71</v>
      </c>
      <c r="D322" s="46" t="str" cm="1">
        <f t="array" ref="D322">_xlfn.XLOOKUP(C322,customers[Customer ID],customers[Gender],"")</f>
        <v>Male</v>
      </c>
      <c r="E322" s="46" cm="1">
        <f t="array" ref="E322">_xlfn.XLOOKUP(C322,customers[Customer ID],customers[Age],"")</f>
        <v>23</v>
      </c>
      <c r="F322" s="46" t="str" cm="1">
        <f t="array" ref="F322">_xlfn.XLOOKUP(C322,customers[Customer ID],customers[City],"")</f>
        <v>Columbus</v>
      </c>
      <c r="G322">
        <v>60</v>
      </c>
      <c r="H322" s="47" t="s">
        <v>40</v>
      </c>
      <c r="I322" s="48">
        <v>45022</v>
      </c>
      <c r="J322">
        <v>116</v>
      </c>
      <c r="K322">
        <v>3.9</v>
      </c>
      <c r="L322">
        <f>IF(MONTH(calls[[#This Row],[Date of Call]])&lt;=6,YEAR(calls[[#This Row],[Date of Call]]),YEAR(calls[[#This Row],[Date of Call]])+1)</f>
        <v>2023</v>
      </c>
      <c r="M322" t="str">
        <f>TEXT(calls[[#This Row],[Date of Call]],"DDDD")</f>
        <v>Thursday</v>
      </c>
      <c r="N322" t="str" cm="1">
        <f t="array" ref="N32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22">
        <f>ROUND(calls[[#This Row],[Satisfaction Rating]],0)</f>
        <v>4</v>
      </c>
      <c r="P322" s="53">
        <f t="shared" si="4"/>
        <v>307</v>
      </c>
    </row>
    <row r="323" spans="2:16">
      <c r="B323" t="s">
        <v>403</v>
      </c>
      <c r="C323" t="s">
        <v>71</v>
      </c>
      <c r="D323" s="46" t="str" cm="1">
        <f t="array" ref="D323">_xlfn.XLOOKUP(C323,customers[Customer ID],customers[Gender],"")</f>
        <v>Male</v>
      </c>
      <c r="E323" s="46" cm="1">
        <f t="array" ref="E323">_xlfn.XLOOKUP(C323,customers[Customer ID],customers[Age],"")</f>
        <v>23</v>
      </c>
      <c r="F323" s="46" t="str" cm="1">
        <f t="array" ref="F323">_xlfn.XLOOKUP(C323,customers[Customer ID],customers[City],"")</f>
        <v>Columbus</v>
      </c>
      <c r="G323">
        <v>158</v>
      </c>
      <c r="H323" s="47" t="s">
        <v>38</v>
      </c>
      <c r="I323" s="48">
        <v>45022</v>
      </c>
      <c r="J323">
        <v>100</v>
      </c>
      <c r="K323">
        <v>4.1</v>
      </c>
      <c r="L323">
        <f>IF(MONTH(calls[[#This Row],[Date of Call]])&lt;=6,YEAR(calls[[#This Row],[Date of Call]]),YEAR(calls[[#This Row],[Date of Call]])+1)</f>
        <v>2023</v>
      </c>
      <c r="M323" t="str">
        <f>TEXT(calls[[#This Row],[Date of Call]],"DDDD")</f>
        <v>Thursday</v>
      </c>
      <c r="N323" t="str" cm="1">
        <f t="array" ref="N32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23">
        <f>ROUND(calls[[#This Row],[Satisfaction Rating]],0)</f>
        <v>4</v>
      </c>
      <c r="P323" s="53">
        <f t="shared" si="4"/>
        <v>307</v>
      </c>
    </row>
    <row r="324" spans="2:16">
      <c r="B324" t="s">
        <v>404</v>
      </c>
      <c r="C324" t="s">
        <v>72</v>
      </c>
      <c r="D324" s="46" t="str" cm="1">
        <f t="array" ref="D324">_xlfn.XLOOKUP(C324,customers[Customer ID],customers[Gender],"")</f>
        <v>Female</v>
      </c>
      <c r="E324" s="46" cm="1">
        <f t="array" ref="E324">_xlfn.XLOOKUP(C324,customers[Customer ID],customers[Age],"")</f>
        <v>25</v>
      </c>
      <c r="F324" s="46" t="str" cm="1">
        <f t="array" ref="F324">_xlfn.XLOOKUP(C324,customers[Customer ID],customers[City],"")</f>
        <v>Columbus</v>
      </c>
      <c r="G324">
        <v>110</v>
      </c>
      <c r="H324" s="47" t="s">
        <v>38</v>
      </c>
      <c r="I324" s="48">
        <v>45023</v>
      </c>
      <c r="J324">
        <v>36</v>
      </c>
      <c r="K324">
        <v>2.2</v>
      </c>
      <c r="L324">
        <f>IF(MONTH(calls[[#This Row],[Date of Call]])&lt;=6,YEAR(calls[[#This Row],[Date of Call]]),YEAR(calls[[#This Row],[Date of Call]])+1)</f>
        <v>2023</v>
      </c>
      <c r="M324" t="str">
        <f>TEXT(calls[[#This Row],[Date of Call]],"DDDD")</f>
        <v>Friday</v>
      </c>
      <c r="N324" t="str" cm="1">
        <f t="array" ref="N32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24">
        <f>ROUND(calls[[#This Row],[Satisfaction Rating]],0)</f>
        <v>2</v>
      </c>
      <c r="P324" s="53">
        <f t="shared" ref="P324:P387" si="5">COUNTIF(O:O,5)</f>
        <v>307</v>
      </c>
    </row>
    <row r="325" spans="2:16">
      <c r="B325" t="s">
        <v>405</v>
      </c>
      <c r="C325" t="s">
        <v>69</v>
      </c>
      <c r="D325" s="46" t="str" cm="1">
        <f t="array" ref="D325">_xlfn.XLOOKUP(C325,customers[Customer ID],customers[Gender],"")</f>
        <v>Male</v>
      </c>
      <c r="E325" s="46" cm="1">
        <f t="array" ref="E325">_xlfn.XLOOKUP(C325,customers[Customer ID],customers[Age],"")</f>
        <v>41</v>
      </c>
      <c r="F325" s="46" t="str" cm="1">
        <f t="array" ref="F325">_xlfn.XLOOKUP(C325,customers[Customer ID],customers[City],"")</f>
        <v>Columbus</v>
      </c>
      <c r="G325">
        <v>70</v>
      </c>
      <c r="H325" s="47" t="s">
        <v>38</v>
      </c>
      <c r="I325" s="48">
        <v>45023</v>
      </c>
      <c r="J325">
        <v>114</v>
      </c>
      <c r="K325">
        <v>5</v>
      </c>
      <c r="L325">
        <f>IF(MONTH(calls[[#This Row],[Date of Call]])&lt;=6,YEAR(calls[[#This Row],[Date of Call]]),YEAR(calls[[#This Row],[Date of Call]])+1)</f>
        <v>2023</v>
      </c>
      <c r="M325" t="str">
        <f>TEXT(calls[[#This Row],[Date of Call]],"DDDD")</f>
        <v>Friday</v>
      </c>
      <c r="N325" t="str" cm="1">
        <f t="array" ref="N32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25">
        <f>ROUND(calls[[#This Row],[Satisfaction Rating]],0)</f>
        <v>5</v>
      </c>
      <c r="P325" s="53">
        <f t="shared" si="5"/>
        <v>307</v>
      </c>
    </row>
    <row r="326" spans="2:16">
      <c r="B326" t="s">
        <v>406</v>
      </c>
      <c r="C326" t="s">
        <v>69</v>
      </c>
      <c r="D326" s="46" t="str" cm="1">
        <f t="array" ref="D326">_xlfn.XLOOKUP(C326,customers[Customer ID],customers[Gender],"")</f>
        <v>Male</v>
      </c>
      <c r="E326" s="46" cm="1">
        <f t="array" ref="E326">_xlfn.XLOOKUP(C326,customers[Customer ID],customers[Age],"")</f>
        <v>41</v>
      </c>
      <c r="F326" s="46" t="str" cm="1">
        <f t="array" ref="F326">_xlfn.XLOOKUP(C326,customers[Customer ID],customers[City],"")</f>
        <v>Columbus</v>
      </c>
      <c r="G326">
        <v>150</v>
      </c>
      <c r="H326" s="47" t="s">
        <v>40</v>
      </c>
      <c r="I326" s="48">
        <v>45023</v>
      </c>
      <c r="J326">
        <v>24</v>
      </c>
      <c r="K326">
        <v>3.8</v>
      </c>
      <c r="L326">
        <f>IF(MONTH(calls[[#This Row],[Date of Call]])&lt;=6,YEAR(calls[[#This Row],[Date of Call]]),YEAR(calls[[#This Row],[Date of Call]])+1)</f>
        <v>2023</v>
      </c>
      <c r="M326" t="str">
        <f>TEXT(calls[[#This Row],[Date of Call]],"DDDD")</f>
        <v>Friday</v>
      </c>
      <c r="N326" t="str" cm="1">
        <f t="array" ref="N32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26">
        <f>ROUND(calls[[#This Row],[Satisfaction Rating]],0)</f>
        <v>4</v>
      </c>
      <c r="P326" s="53">
        <f t="shared" si="5"/>
        <v>307</v>
      </c>
    </row>
    <row r="327" spans="2:16">
      <c r="B327" t="s">
        <v>407</v>
      </c>
      <c r="C327" t="s">
        <v>64</v>
      </c>
      <c r="D327" s="46" t="str" cm="1">
        <f t="array" ref="D327">_xlfn.XLOOKUP(C327,customers[Customer ID],customers[Gender],"")</f>
        <v>Female</v>
      </c>
      <c r="E327" s="46" cm="1">
        <f t="array" ref="E327">_xlfn.XLOOKUP(C327,customers[Customer ID],customers[Age],"")</f>
        <v>22</v>
      </c>
      <c r="F327" s="46" t="str" cm="1">
        <f t="array" ref="F327">_xlfn.XLOOKUP(C327,customers[Customer ID],customers[City],"")</f>
        <v>Cleveland</v>
      </c>
      <c r="G327">
        <v>36</v>
      </c>
      <c r="H327" s="47" t="s">
        <v>37</v>
      </c>
      <c r="I327" s="48">
        <v>45023</v>
      </c>
      <c r="J327">
        <v>135</v>
      </c>
      <c r="K327">
        <v>4.6</v>
      </c>
      <c r="L327">
        <f>IF(MONTH(calls[[#This Row],[Date of Call]])&lt;=6,YEAR(calls[[#This Row],[Date of Call]]),YEAR(calls[[#This Row],[Date of Call]])+1)</f>
        <v>2023</v>
      </c>
      <c r="M327" t="str">
        <f>TEXT(calls[[#This Row],[Date of Call]],"DDDD")</f>
        <v>Friday</v>
      </c>
      <c r="N327" t="str" cm="1">
        <f t="array" ref="N32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27">
        <f>ROUND(calls[[#This Row],[Satisfaction Rating]],0)</f>
        <v>5</v>
      </c>
      <c r="P327" s="53">
        <f t="shared" si="5"/>
        <v>307</v>
      </c>
    </row>
    <row r="328" spans="2:16">
      <c r="B328" t="s">
        <v>408</v>
      </c>
      <c r="C328" t="s">
        <v>68</v>
      </c>
      <c r="D328" s="46" t="str" cm="1">
        <f t="array" ref="D328">_xlfn.XLOOKUP(C328,customers[Customer ID],customers[Gender],"")</f>
        <v>Female</v>
      </c>
      <c r="E328" s="46" cm="1">
        <f t="array" ref="E328">_xlfn.XLOOKUP(C328,customers[Customer ID],customers[Age],"")</f>
        <v>43</v>
      </c>
      <c r="F328" s="46" t="str" cm="1">
        <f t="array" ref="F328">_xlfn.XLOOKUP(C328,customers[Customer ID],customers[City],"")</f>
        <v>Cleveland</v>
      </c>
      <c r="G328">
        <v>74</v>
      </c>
      <c r="H328" s="47" t="s">
        <v>37</v>
      </c>
      <c r="I328" s="48">
        <v>45023</v>
      </c>
      <c r="J328">
        <v>30</v>
      </c>
      <c r="K328">
        <v>4</v>
      </c>
      <c r="L328">
        <f>IF(MONTH(calls[[#This Row],[Date of Call]])&lt;=6,YEAR(calls[[#This Row],[Date of Call]]),YEAR(calls[[#This Row],[Date of Call]])+1)</f>
        <v>2023</v>
      </c>
      <c r="M328" t="str">
        <f>TEXT(calls[[#This Row],[Date of Call]],"DDDD")</f>
        <v>Friday</v>
      </c>
      <c r="N328" t="str" cm="1">
        <f t="array" ref="N3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28">
        <f>ROUND(calls[[#This Row],[Satisfaction Rating]],0)</f>
        <v>4</v>
      </c>
      <c r="P328" s="53">
        <f t="shared" si="5"/>
        <v>307</v>
      </c>
    </row>
    <row r="329" spans="2:16">
      <c r="B329" t="s">
        <v>409</v>
      </c>
      <c r="C329" t="s">
        <v>60</v>
      </c>
      <c r="D329" s="46" t="str" cm="1">
        <f t="array" ref="D329">_xlfn.XLOOKUP(C329,customers[Customer ID],customers[Gender],"")</f>
        <v>Male</v>
      </c>
      <c r="E329" s="46" cm="1">
        <f t="array" ref="E329">_xlfn.XLOOKUP(C329,customers[Customer ID],customers[Age],"")</f>
        <v>36</v>
      </c>
      <c r="F329" s="46" t="str" cm="1">
        <f t="array" ref="F329">_xlfn.XLOOKUP(C329,customers[Customer ID],customers[City],"")</f>
        <v>Cincinnati</v>
      </c>
      <c r="G329">
        <v>75</v>
      </c>
      <c r="H329" s="47" t="s">
        <v>37</v>
      </c>
      <c r="I329" s="48">
        <v>45023</v>
      </c>
      <c r="J329">
        <v>84</v>
      </c>
      <c r="K329">
        <v>2.8</v>
      </c>
      <c r="L329">
        <f>IF(MONTH(calls[[#This Row],[Date of Call]])&lt;=6,YEAR(calls[[#This Row],[Date of Call]]),YEAR(calls[[#This Row],[Date of Call]])+1)</f>
        <v>2023</v>
      </c>
      <c r="M329" t="str">
        <f>TEXT(calls[[#This Row],[Date of Call]],"DDDD")</f>
        <v>Friday</v>
      </c>
      <c r="N329" t="str" cm="1">
        <f t="array" ref="N3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29">
        <f>ROUND(calls[[#This Row],[Satisfaction Rating]],0)</f>
        <v>3</v>
      </c>
      <c r="P329" s="53">
        <f t="shared" si="5"/>
        <v>307</v>
      </c>
    </row>
    <row r="330" spans="2:16">
      <c r="B330" t="s">
        <v>410</v>
      </c>
      <c r="C330" t="s">
        <v>65</v>
      </c>
      <c r="D330" s="46" t="str" cm="1">
        <f t="array" ref="D330">_xlfn.XLOOKUP(C330,customers[Customer ID],customers[Gender],"")</f>
        <v>Female</v>
      </c>
      <c r="E330" s="46" cm="1">
        <f t="array" ref="E330">_xlfn.XLOOKUP(C330,customers[Customer ID],customers[Age],"")</f>
        <v>42</v>
      </c>
      <c r="F330" s="46" t="str" cm="1">
        <f t="array" ref="F330">_xlfn.XLOOKUP(C330,customers[Customer ID],customers[City],"")</f>
        <v>Cleveland</v>
      </c>
      <c r="G330">
        <v>70</v>
      </c>
      <c r="H330" s="47" t="s">
        <v>39</v>
      </c>
      <c r="I330" s="48">
        <v>45023</v>
      </c>
      <c r="J330">
        <v>42</v>
      </c>
      <c r="K330">
        <v>4.4</v>
      </c>
      <c r="L330">
        <f>IF(MONTH(calls[[#This Row],[Date of Call]])&lt;=6,YEAR(calls[[#This Row],[Date of Call]]),YEAR(calls[[#This Row],[Date of Call]])+1)</f>
        <v>2023</v>
      </c>
      <c r="M330" t="str">
        <f>TEXT(calls[[#This Row],[Date of Call]],"DDDD")</f>
        <v>Friday</v>
      </c>
      <c r="N330" t="str" cm="1">
        <f t="array" ref="N33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30">
        <f>ROUND(calls[[#This Row],[Satisfaction Rating]],0)</f>
        <v>4</v>
      </c>
      <c r="P330" s="53">
        <f t="shared" si="5"/>
        <v>307</v>
      </c>
    </row>
    <row r="331" spans="2:16">
      <c r="B331" t="s">
        <v>411</v>
      </c>
      <c r="C331" t="s">
        <v>72</v>
      </c>
      <c r="D331" s="46" t="str" cm="1">
        <f t="array" ref="D331">_xlfn.XLOOKUP(C331,customers[Customer ID],customers[Gender],"")</f>
        <v>Female</v>
      </c>
      <c r="E331" s="46" cm="1">
        <f t="array" ref="E331">_xlfn.XLOOKUP(C331,customers[Customer ID],customers[Age],"")</f>
        <v>25</v>
      </c>
      <c r="F331" s="46" t="str" cm="1">
        <f t="array" ref="F331">_xlfn.XLOOKUP(C331,customers[Customer ID],customers[City],"")</f>
        <v>Columbus</v>
      </c>
      <c r="G331">
        <v>23</v>
      </c>
      <c r="H331" s="47" t="s">
        <v>38</v>
      </c>
      <c r="I331" s="48">
        <v>45023</v>
      </c>
      <c r="J331">
        <v>117</v>
      </c>
      <c r="K331">
        <v>2.4</v>
      </c>
      <c r="L331">
        <f>IF(MONTH(calls[[#This Row],[Date of Call]])&lt;=6,YEAR(calls[[#This Row],[Date of Call]]),YEAR(calls[[#This Row],[Date of Call]])+1)</f>
        <v>2023</v>
      </c>
      <c r="M331" t="str">
        <f>TEXT(calls[[#This Row],[Date of Call]],"DDDD")</f>
        <v>Friday</v>
      </c>
      <c r="N331" t="str" cm="1">
        <f t="array" ref="N331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331">
        <f>ROUND(calls[[#This Row],[Satisfaction Rating]],0)</f>
        <v>2</v>
      </c>
      <c r="P331" s="53">
        <f t="shared" si="5"/>
        <v>307</v>
      </c>
    </row>
    <row r="332" spans="2:16">
      <c r="B332" t="s">
        <v>412</v>
      </c>
      <c r="C332" t="s">
        <v>66</v>
      </c>
      <c r="D332" s="46" t="str" cm="1">
        <f t="array" ref="D332">_xlfn.XLOOKUP(C332,customers[Customer ID],customers[Gender],"")</f>
        <v>Female</v>
      </c>
      <c r="E332" s="46" cm="1">
        <f t="array" ref="E332">_xlfn.XLOOKUP(C332,customers[Customer ID],customers[Age],"")</f>
        <v>30</v>
      </c>
      <c r="F332" s="46" t="str" cm="1">
        <f t="array" ref="F332">_xlfn.XLOOKUP(C332,customers[Customer ID],customers[City],"")</f>
        <v>Cleveland</v>
      </c>
      <c r="G332">
        <v>104</v>
      </c>
      <c r="H332" s="47" t="s">
        <v>36</v>
      </c>
      <c r="I332" s="48">
        <v>45023</v>
      </c>
      <c r="J332">
        <v>164</v>
      </c>
      <c r="K332">
        <v>4</v>
      </c>
      <c r="L332">
        <f>IF(MONTH(calls[[#This Row],[Date of Call]])&lt;=6,YEAR(calls[[#This Row],[Date of Call]]),YEAR(calls[[#This Row],[Date of Call]])+1)</f>
        <v>2023</v>
      </c>
      <c r="M332" t="str">
        <f>TEXT(calls[[#This Row],[Date of Call]],"DDDD")</f>
        <v>Friday</v>
      </c>
      <c r="N332" t="str" cm="1">
        <f t="array" ref="N33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32">
        <f>ROUND(calls[[#This Row],[Satisfaction Rating]],0)</f>
        <v>4</v>
      </c>
      <c r="P332" s="53">
        <f t="shared" si="5"/>
        <v>307</v>
      </c>
    </row>
    <row r="333" spans="2:16">
      <c r="B333" t="s">
        <v>413</v>
      </c>
      <c r="C333" t="s">
        <v>69</v>
      </c>
      <c r="D333" s="46" t="str" cm="1">
        <f t="array" ref="D333">_xlfn.XLOOKUP(C333,customers[Customer ID],customers[Gender],"")</f>
        <v>Male</v>
      </c>
      <c r="E333" s="46" cm="1">
        <f t="array" ref="E333">_xlfn.XLOOKUP(C333,customers[Customer ID],customers[Age],"")</f>
        <v>41</v>
      </c>
      <c r="F333" s="46" t="str" cm="1">
        <f t="array" ref="F333">_xlfn.XLOOKUP(C333,customers[Customer ID],customers[City],"")</f>
        <v>Columbus</v>
      </c>
      <c r="G333">
        <v>95</v>
      </c>
      <c r="H333" s="47" t="s">
        <v>39</v>
      </c>
      <c r="I333" s="48">
        <v>45024</v>
      </c>
      <c r="J333">
        <v>123</v>
      </c>
      <c r="K333">
        <v>4.4</v>
      </c>
      <c r="L333">
        <f>IF(MONTH(calls[[#This Row],[Date of Call]])&lt;=6,YEAR(calls[[#This Row],[Date of Call]]),YEAR(calls[[#This Row],[Date of Call]])+1)</f>
        <v>2023</v>
      </c>
      <c r="M333" t="str">
        <f>TEXT(calls[[#This Row],[Date of Call]],"DDDD")</f>
        <v>Saturday</v>
      </c>
      <c r="N333" t="str" cm="1">
        <f t="array" ref="N33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33">
        <f>ROUND(calls[[#This Row],[Satisfaction Rating]],0)</f>
        <v>4</v>
      </c>
      <c r="P333" s="53">
        <f t="shared" si="5"/>
        <v>307</v>
      </c>
    </row>
    <row r="334" spans="2:16">
      <c r="B334" t="s">
        <v>414</v>
      </c>
      <c r="C334" t="s">
        <v>61</v>
      </c>
      <c r="D334" s="46" t="str" cm="1">
        <f t="array" ref="D334">_xlfn.XLOOKUP(C334,customers[Customer ID],customers[Gender],"")</f>
        <v>Female</v>
      </c>
      <c r="E334" s="46" cm="1">
        <f t="array" ref="E334">_xlfn.XLOOKUP(C334,customers[Customer ID],customers[Age],"")</f>
        <v>30</v>
      </c>
      <c r="F334" s="46" t="str" cm="1">
        <f t="array" ref="F334">_xlfn.XLOOKUP(C334,customers[Customer ID],customers[City],"")</f>
        <v>Cincinnati</v>
      </c>
      <c r="G334">
        <v>49</v>
      </c>
      <c r="H334" s="47" t="s">
        <v>40</v>
      </c>
      <c r="I334" s="48">
        <v>45024</v>
      </c>
      <c r="J334">
        <v>172</v>
      </c>
      <c r="K334">
        <v>2.9</v>
      </c>
      <c r="L334">
        <f>IF(MONTH(calls[[#This Row],[Date of Call]])&lt;=6,YEAR(calls[[#This Row],[Date of Call]]),YEAR(calls[[#This Row],[Date of Call]])+1)</f>
        <v>2023</v>
      </c>
      <c r="M334" t="str">
        <f>TEXT(calls[[#This Row],[Date of Call]],"DDDD")</f>
        <v>Saturday</v>
      </c>
      <c r="N334" t="str" cm="1">
        <f t="array" ref="N33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34">
        <f>ROUND(calls[[#This Row],[Satisfaction Rating]],0)</f>
        <v>3</v>
      </c>
      <c r="P334" s="53">
        <f t="shared" si="5"/>
        <v>307</v>
      </c>
    </row>
    <row r="335" spans="2:16">
      <c r="B335" t="s">
        <v>415</v>
      </c>
      <c r="C335" t="s">
        <v>62</v>
      </c>
      <c r="D335" s="46" t="str" cm="1">
        <f t="array" ref="D335">_xlfn.XLOOKUP(C335,customers[Customer ID],customers[Gender],"")</f>
        <v>Female</v>
      </c>
      <c r="E335" s="46" cm="1">
        <f t="array" ref="E335">_xlfn.XLOOKUP(C335,customers[Customer ID],customers[Age],"")</f>
        <v>28</v>
      </c>
      <c r="F335" s="46" t="str" cm="1">
        <f t="array" ref="F335">_xlfn.XLOOKUP(C335,customers[Customer ID],customers[City],"")</f>
        <v>Cincinnati</v>
      </c>
      <c r="G335">
        <v>8</v>
      </c>
      <c r="H335" s="47" t="s">
        <v>38</v>
      </c>
      <c r="I335" s="48">
        <v>45024</v>
      </c>
      <c r="J335">
        <v>20</v>
      </c>
      <c r="K335">
        <v>4.8</v>
      </c>
      <c r="L335">
        <f>IF(MONTH(calls[[#This Row],[Date of Call]])&lt;=6,YEAR(calls[[#This Row],[Date of Call]]),YEAR(calls[[#This Row],[Date of Call]])+1)</f>
        <v>2023</v>
      </c>
      <c r="M335" t="str">
        <f>TEXT(calls[[#This Row],[Date of Call]],"DDDD")</f>
        <v>Saturday</v>
      </c>
      <c r="N335" t="str" cm="1">
        <f t="array" ref="N335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O335">
        <f>ROUND(calls[[#This Row],[Satisfaction Rating]],0)</f>
        <v>5</v>
      </c>
      <c r="P335" s="53">
        <f t="shared" si="5"/>
        <v>307</v>
      </c>
    </row>
    <row r="336" spans="2:16">
      <c r="B336" t="s">
        <v>416</v>
      </c>
      <c r="C336" t="s">
        <v>69</v>
      </c>
      <c r="D336" s="46" t="str" cm="1">
        <f t="array" ref="D336">_xlfn.XLOOKUP(C336,customers[Customer ID],customers[Gender],"")</f>
        <v>Male</v>
      </c>
      <c r="E336" s="46" cm="1">
        <f t="array" ref="E336">_xlfn.XLOOKUP(C336,customers[Customer ID],customers[Age],"")</f>
        <v>41</v>
      </c>
      <c r="F336" s="46" t="str" cm="1">
        <f t="array" ref="F336">_xlfn.XLOOKUP(C336,customers[Customer ID],customers[City],"")</f>
        <v>Columbus</v>
      </c>
      <c r="G336">
        <v>157</v>
      </c>
      <c r="H336" s="47" t="s">
        <v>40</v>
      </c>
      <c r="I336" s="48">
        <v>45024</v>
      </c>
      <c r="J336">
        <v>72</v>
      </c>
      <c r="K336">
        <v>3.7</v>
      </c>
      <c r="L336">
        <f>IF(MONTH(calls[[#This Row],[Date of Call]])&lt;=6,YEAR(calls[[#This Row],[Date of Call]]),YEAR(calls[[#This Row],[Date of Call]])+1)</f>
        <v>2023</v>
      </c>
      <c r="M336" t="str">
        <f>TEXT(calls[[#This Row],[Date of Call]],"DDDD")</f>
        <v>Saturday</v>
      </c>
      <c r="N336" t="str" cm="1">
        <f t="array" ref="N33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36">
        <f>ROUND(calls[[#This Row],[Satisfaction Rating]],0)</f>
        <v>4</v>
      </c>
      <c r="P336" s="53">
        <f t="shared" si="5"/>
        <v>307</v>
      </c>
    </row>
    <row r="337" spans="2:16">
      <c r="B337" t="s">
        <v>417</v>
      </c>
      <c r="C337" t="s">
        <v>70</v>
      </c>
      <c r="D337" s="46" t="str" cm="1">
        <f t="array" ref="D337">_xlfn.XLOOKUP(C337,customers[Customer ID],customers[Gender],"")</f>
        <v>Male</v>
      </c>
      <c r="E337" s="46" cm="1">
        <f t="array" ref="E337">_xlfn.XLOOKUP(C337,customers[Customer ID],customers[Age],"")</f>
        <v>37</v>
      </c>
      <c r="F337" s="46" t="str" cm="1">
        <f t="array" ref="F337">_xlfn.XLOOKUP(C337,customers[Customer ID],customers[City],"")</f>
        <v>Columbus</v>
      </c>
      <c r="G337">
        <v>74</v>
      </c>
      <c r="H337" s="47" t="s">
        <v>37</v>
      </c>
      <c r="I337" s="48">
        <v>45024</v>
      </c>
      <c r="J337">
        <v>32</v>
      </c>
      <c r="K337">
        <v>4.8</v>
      </c>
      <c r="L337">
        <f>IF(MONTH(calls[[#This Row],[Date of Call]])&lt;=6,YEAR(calls[[#This Row],[Date of Call]]),YEAR(calls[[#This Row],[Date of Call]])+1)</f>
        <v>2023</v>
      </c>
      <c r="M337" t="str">
        <f>TEXT(calls[[#This Row],[Date of Call]],"DDDD")</f>
        <v>Saturday</v>
      </c>
      <c r="N337" t="str" cm="1">
        <f t="array" ref="N33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37">
        <f>ROUND(calls[[#This Row],[Satisfaction Rating]],0)</f>
        <v>5</v>
      </c>
      <c r="P337" s="53">
        <f t="shared" si="5"/>
        <v>307</v>
      </c>
    </row>
    <row r="338" spans="2:16">
      <c r="B338" t="s">
        <v>418</v>
      </c>
      <c r="C338" t="s">
        <v>72</v>
      </c>
      <c r="D338" s="46" t="str" cm="1">
        <f t="array" ref="D338">_xlfn.XLOOKUP(C338,customers[Customer ID],customers[Gender],"")</f>
        <v>Female</v>
      </c>
      <c r="E338" s="46" cm="1">
        <f t="array" ref="E338">_xlfn.XLOOKUP(C338,customers[Customer ID],customers[Age],"")</f>
        <v>25</v>
      </c>
      <c r="F338" s="46" t="str" cm="1">
        <f t="array" ref="F338">_xlfn.XLOOKUP(C338,customers[Customer ID],customers[City],"")</f>
        <v>Columbus</v>
      </c>
      <c r="G338">
        <v>72</v>
      </c>
      <c r="H338" s="47" t="s">
        <v>39</v>
      </c>
      <c r="I338" s="48">
        <v>45024</v>
      </c>
      <c r="J338">
        <v>140</v>
      </c>
      <c r="K338">
        <v>3.2</v>
      </c>
      <c r="L338">
        <f>IF(MONTH(calls[[#This Row],[Date of Call]])&lt;=6,YEAR(calls[[#This Row],[Date of Call]]),YEAR(calls[[#This Row],[Date of Call]])+1)</f>
        <v>2023</v>
      </c>
      <c r="M338" t="str">
        <f>TEXT(calls[[#This Row],[Date of Call]],"DDDD")</f>
        <v>Saturday</v>
      </c>
      <c r="N338" t="str" cm="1">
        <f t="array" ref="N3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38">
        <f>ROUND(calls[[#This Row],[Satisfaction Rating]],0)</f>
        <v>3</v>
      </c>
      <c r="P338" s="53">
        <f t="shared" si="5"/>
        <v>307</v>
      </c>
    </row>
    <row r="339" spans="2:16">
      <c r="B339" t="s">
        <v>419</v>
      </c>
      <c r="C339" t="s">
        <v>70</v>
      </c>
      <c r="D339" s="46" t="str" cm="1">
        <f t="array" ref="D339">_xlfn.XLOOKUP(C339,customers[Customer ID],customers[Gender],"")</f>
        <v>Male</v>
      </c>
      <c r="E339" s="46" cm="1">
        <f t="array" ref="E339">_xlfn.XLOOKUP(C339,customers[Customer ID],customers[Age],"")</f>
        <v>37</v>
      </c>
      <c r="F339" s="46" t="str" cm="1">
        <f t="array" ref="F339">_xlfn.XLOOKUP(C339,customers[Customer ID],customers[City],"")</f>
        <v>Columbus</v>
      </c>
      <c r="G339">
        <v>79</v>
      </c>
      <c r="H339" s="47" t="s">
        <v>37</v>
      </c>
      <c r="I339" s="48">
        <v>45025</v>
      </c>
      <c r="J339">
        <v>120</v>
      </c>
      <c r="K339">
        <v>4.9</v>
      </c>
      <c r="L339">
        <f>IF(MONTH(calls[[#This Row],[Date of Call]])&lt;=6,YEAR(calls[[#This Row],[Date of Call]]),YEAR(calls[[#This Row],[Date of Call]])+1)</f>
        <v>2023</v>
      </c>
      <c r="M339" t="str">
        <f>TEXT(calls[[#This Row],[Date of Call]],"DDDD")</f>
        <v>Sunday</v>
      </c>
      <c r="N339" t="str" cm="1">
        <f t="array" ref="N3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39">
        <f>ROUND(calls[[#This Row],[Satisfaction Rating]],0)</f>
        <v>5</v>
      </c>
      <c r="P339" s="53">
        <f t="shared" si="5"/>
        <v>307</v>
      </c>
    </row>
    <row r="340" spans="2:16">
      <c r="B340" t="s">
        <v>420</v>
      </c>
      <c r="C340" t="s">
        <v>68</v>
      </c>
      <c r="D340" s="46" t="str" cm="1">
        <f t="array" ref="D340">_xlfn.XLOOKUP(C340,customers[Customer ID],customers[Gender],"")</f>
        <v>Female</v>
      </c>
      <c r="E340" s="46" cm="1">
        <f t="array" ref="E340">_xlfn.XLOOKUP(C340,customers[Customer ID],customers[Age],"")</f>
        <v>43</v>
      </c>
      <c r="F340" s="46" t="str" cm="1">
        <f t="array" ref="F340">_xlfn.XLOOKUP(C340,customers[Customer ID],customers[City],"")</f>
        <v>Cleveland</v>
      </c>
      <c r="G340">
        <v>23</v>
      </c>
      <c r="H340" s="47" t="s">
        <v>37</v>
      </c>
      <c r="I340" s="48">
        <v>45025</v>
      </c>
      <c r="J340">
        <v>86</v>
      </c>
      <c r="K340">
        <v>2.2</v>
      </c>
      <c r="L340">
        <f>IF(MONTH(calls[[#This Row],[Date of Call]])&lt;=6,YEAR(calls[[#This Row],[Date of Call]]),YEAR(calls[[#This Row],[Date of Call]])+1)</f>
        <v>2023</v>
      </c>
      <c r="M340" t="str">
        <f>TEXT(calls[[#This Row],[Date of Call]],"DDDD")</f>
        <v>Sunday</v>
      </c>
      <c r="N340" t="str" cm="1">
        <f t="array" ref="N340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340">
        <f>ROUND(calls[[#This Row],[Satisfaction Rating]],0)</f>
        <v>2</v>
      </c>
      <c r="P340" s="53">
        <f t="shared" si="5"/>
        <v>307</v>
      </c>
    </row>
    <row r="341" spans="2:16">
      <c r="B341" t="s">
        <v>421</v>
      </c>
      <c r="C341" t="s">
        <v>60</v>
      </c>
      <c r="D341" s="46" t="str" cm="1">
        <f t="array" ref="D341">_xlfn.XLOOKUP(C341,customers[Customer ID],customers[Gender],"")</f>
        <v>Male</v>
      </c>
      <c r="E341" s="46" cm="1">
        <f t="array" ref="E341">_xlfn.XLOOKUP(C341,customers[Customer ID],customers[Age],"")</f>
        <v>36</v>
      </c>
      <c r="F341" s="46" t="str" cm="1">
        <f t="array" ref="F341">_xlfn.XLOOKUP(C341,customers[Customer ID],customers[City],"")</f>
        <v>Cincinnati</v>
      </c>
      <c r="G341">
        <v>69</v>
      </c>
      <c r="H341" s="47" t="s">
        <v>37</v>
      </c>
      <c r="I341" s="48">
        <v>45025</v>
      </c>
      <c r="J341">
        <v>132</v>
      </c>
      <c r="K341">
        <v>5</v>
      </c>
      <c r="L341">
        <f>IF(MONTH(calls[[#This Row],[Date of Call]])&lt;=6,YEAR(calls[[#This Row],[Date of Call]]),YEAR(calls[[#This Row],[Date of Call]])+1)</f>
        <v>2023</v>
      </c>
      <c r="M341" t="str">
        <f>TEXT(calls[[#This Row],[Date of Call]],"DDDD")</f>
        <v>Sunday</v>
      </c>
      <c r="N341" t="str" cm="1">
        <f t="array" ref="N3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41">
        <f>ROUND(calls[[#This Row],[Satisfaction Rating]],0)</f>
        <v>5</v>
      </c>
      <c r="P341" s="53">
        <f t="shared" si="5"/>
        <v>307</v>
      </c>
    </row>
    <row r="342" spans="2:16">
      <c r="B342" t="s">
        <v>422</v>
      </c>
      <c r="C342" t="s">
        <v>71</v>
      </c>
      <c r="D342" s="46" t="str" cm="1">
        <f t="array" ref="D342">_xlfn.XLOOKUP(C342,customers[Customer ID],customers[Gender],"")</f>
        <v>Male</v>
      </c>
      <c r="E342" s="46" cm="1">
        <f t="array" ref="E342">_xlfn.XLOOKUP(C342,customers[Customer ID],customers[Age],"")</f>
        <v>23</v>
      </c>
      <c r="F342" s="46" t="str" cm="1">
        <f t="array" ref="F342">_xlfn.XLOOKUP(C342,customers[Customer ID],customers[City],"")</f>
        <v>Columbus</v>
      </c>
      <c r="G342">
        <v>64</v>
      </c>
      <c r="H342" s="47" t="s">
        <v>37</v>
      </c>
      <c r="I342" s="48">
        <v>45025</v>
      </c>
      <c r="J342">
        <v>80</v>
      </c>
      <c r="K342">
        <v>3.3</v>
      </c>
      <c r="L342">
        <f>IF(MONTH(calls[[#This Row],[Date of Call]])&lt;=6,YEAR(calls[[#This Row],[Date of Call]]),YEAR(calls[[#This Row],[Date of Call]])+1)</f>
        <v>2023</v>
      </c>
      <c r="M342" t="str">
        <f>TEXT(calls[[#This Row],[Date of Call]],"DDDD")</f>
        <v>Sunday</v>
      </c>
      <c r="N342" t="str" cm="1">
        <f t="array" ref="N3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42">
        <f>ROUND(calls[[#This Row],[Satisfaction Rating]],0)</f>
        <v>3</v>
      </c>
      <c r="P342" s="53">
        <f t="shared" si="5"/>
        <v>307</v>
      </c>
    </row>
    <row r="343" spans="2:16">
      <c r="B343" t="s">
        <v>423</v>
      </c>
      <c r="C343" t="s">
        <v>63</v>
      </c>
      <c r="D343" s="46" t="str" cm="1">
        <f t="array" ref="D343">_xlfn.XLOOKUP(C343,customers[Customer ID],customers[Gender],"")</f>
        <v>Male</v>
      </c>
      <c r="E343" s="46" cm="1">
        <f t="array" ref="E343">_xlfn.XLOOKUP(C343,customers[Customer ID],customers[Age],"")</f>
        <v>31</v>
      </c>
      <c r="F343" s="46" t="str" cm="1">
        <f t="array" ref="F343">_xlfn.XLOOKUP(C343,customers[Customer ID],customers[City],"")</f>
        <v>Cleveland</v>
      </c>
      <c r="G343">
        <v>47</v>
      </c>
      <c r="H343" s="47" t="s">
        <v>40</v>
      </c>
      <c r="I343" s="48">
        <v>45025</v>
      </c>
      <c r="J343">
        <v>132</v>
      </c>
      <c r="K343">
        <v>3.7</v>
      </c>
      <c r="L343">
        <f>IF(MONTH(calls[[#This Row],[Date of Call]])&lt;=6,YEAR(calls[[#This Row],[Date of Call]]),YEAR(calls[[#This Row],[Date of Call]])+1)</f>
        <v>2023</v>
      </c>
      <c r="M343" t="str">
        <f>TEXT(calls[[#This Row],[Date of Call]],"DDDD")</f>
        <v>Sunday</v>
      </c>
      <c r="N343" t="str" cm="1">
        <f t="array" ref="N34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43">
        <f>ROUND(calls[[#This Row],[Satisfaction Rating]],0)</f>
        <v>4</v>
      </c>
      <c r="P343" s="53">
        <f t="shared" si="5"/>
        <v>307</v>
      </c>
    </row>
    <row r="344" spans="2:16">
      <c r="B344" t="s">
        <v>424</v>
      </c>
      <c r="C344" t="s">
        <v>70</v>
      </c>
      <c r="D344" s="46" t="str" cm="1">
        <f t="array" ref="D344">_xlfn.XLOOKUP(C344,customers[Customer ID],customers[Gender],"")</f>
        <v>Male</v>
      </c>
      <c r="E344" s="46" cm="1">
        <f t="array" ref="E344">_xlfn.XLOOKUP(C344,customers[Customer ID],customers[Age],"")</f>
        <v>37</v>
      </c>
      <c r="F344" s="46" t="str" cm="1">
        <f t="array" ref="F344">_xlfn.XLOOKUP(C344,customers[Customer ID],customers[City],"")</f>
        <v>Columbus</v>
      </c>
      <c r="G344">
        <v>55</v>
      </c>
      <c r="H344" s="47" t="s">
        <v>39</v>
      </c>
      <c r="I344" s="48">
        <v>45025</v>
      </c>
      <c r="J344">
        <v>27</v>
      </c>
      <c r="K344">
        <v>3.7</v>
      </c>
      <c r="L344">
        <f>IF(MONTH(calls[[#This Row],[Date of Call]])&lt;=6,YEAR(calls[[#This Row],[Date of Call]]),YEAR(calls[[#This Row],[Date of Call]])+1)</f>
        <v>2023</v>
      </c>
      <c r="M344" t="str">
        <f>TEXT(calls[[#This Row],[Date of Call]],"DDDD")</f>
        <v>Sunday</v>
      </c>
      <c r="N344" t="str" cm="1">
        <f t="array" ref="N34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44">
        <f>ROUND(calls[[#This Row],[Satisfaction Rating]],0)</f>
        <v>4</v>
      </c>
      <c r="P344" s="53">
        <f t="shared" si="5"/>
        <v>307</v>
      </c>
    </row>
    <row r="345" spans="2:16">
      <c r="B345" t="s">
        <v>425</v>
      </c>
      <c r="C345" t="s">
        <v>66</v>
      </c>
      <c r="D345" s="46" t="str" cm="1">
        <f t="array" ref="D345">_xlfn.XLOOKUP(C345,customers[Customer ID],customers[Gender],"")</f>
        <v>Female</v>
      </c>
      <c r="E345" s="46" cm="1">
        <f t="array" ref="E345">_xlfn.XLOOKUP(C345,customers[Customer ID],customers[Age],"")</f>
        <v>30</v>
      </c>
      <c r="F345" s="46" t="str" cm="1">
        <f t="array" ref="F345">_xlfn.XLOOKUP(C345,customers[Customer ID],customers[City],"")</f>
        <v>Cleveland</v>
      </c>
      <c r="G345">
        <v>104</v>
      </c>
      <c r="H345" s="47" t="s">
        <v>39</v>
      </c>
      <c r="I345" s="48">
        <v>45026</v>
      </c>
      <c r="J345">
        <v>68</v>
      </c>
      <c r="K345">
        <v>3.6</v>
      </c>
      <c r="L345">
        <f>IF(MONTH(calls[[#This Row],[Date of Call]])&lt;=6,YEAR(calls[[#This Row],[Date of Call]]),YEAR(calls[[#This Row],[Date of Call]])+1)</f>
        <v>2023</v>
      </c>
      <c r="M345" t="str">
        <f>TEXT(calls[[#This Row],[Date of Call]],"DDDD")</f>
        <v>Monday</v>
      </c>
      <c r="N345" t="str" cm="1">
        <f t="array" ref="N3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45">
        <f>ROUND(calls[[#This Row],[Satisfaction Rating]],0)</f>
        <v>4</v>
      </c>
      <c r="P345" s="53">
        <f t="shared" si="5"/>
        <v>307</v>
      </c>
    </row>
    <row r="346" spans="2:16">
      <c r="B346" t="s">
        <v>426</v>
      </c>
      <c r="C346" t="s">
        <v>63</v>
      </c>
      <c r="D346" s="46" t="str" cm="1">
        <f t="array" ref="D346">_xlfn.XLOOKUP(C346,customers[Customer ID],customers[Gender],"")</f>
        <v>Male</v>
      </c>
      <c r="E346" s="46" cm="1">
        <f t="array" ref="E346">_xlfn.XLOOKUP(C346,customers[Customer ID],customers[Age],"")</f>
        <v>31</v>
      </c>
      <c r="F346" s="46" t="str" cm="1">
        <f t="array" ref="F346">_xlfn.XLOOKUP(C346,customers[Customer ID],customers[City],"")</f>
        <v>Cleveland</v>
      </c>
      <c r="G346">
        <v>116</v>
      </c>
      <c r="H346" s="47" t="s">
        <v>37</v>
      </c>
      <c r="I346" s="48">
        <v>45026</v>
      </c>
      <c r="J346">
        <v>22</v>
      </c>
      <c r="K346">
        <v>4.7</v>
      </c>
      <c r="L346">
        <f>IF(MONTH(calls[[#This Row],[Date of Call]])&lt;=6,YEAR(calls[[#This Row],[Date of Call]]),YEAR(calls[[#This Row],[Date of Call]])+1)</f>
        <v>2023</v>
      </c>
      <c r="M346" t="str">
        <f>TEXT(calls[[#This Row],[Date of Call]],"DDDD")</f>
        <v>Monday</v>
      </c>
      <c r="N346" t="str" cm="1">
        <f t="array" ref="N34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46">
        <f>ROUND(calls[[#This Row],[Satisfaction Rating]],0)</f>
        <v>5</v>
      </c>
      <c r="P346" s="53">
        <f t="shared" si="5"/>
        <v>307</v>
      </c>
    </row>
    <row r="347" spans="2:16">
      <c r="B347" t="s">
        <v>427</v>
      </c>
      <c r="C347" t="s">
        <v>68</v>
      </c>
      <c r="D347" s="46" t="str" cm="1">
        <f t="array" ref="D347">_xlfn.XLOOKUP(C347,customers[Customer ID],customers[Gender],"")</f>
        <v>Female</v>
      </c>
      <c r="E347" s="46" cm="1">
        <f t="array" ref="E347">_xlfn.XLOOKUP(C347,customers[Customer ID],customers[Age],"")</f>
        <v>43</v>
      </c>
      <c r="F347" s="46" t="str" cm="1">
        <f t="array" ref="F347">_xlfn.XLOOKUP(C347,customers[Customer ID],customers[City],"")</f>
        <v>Cleveland</v>
      </c>
      <c r="G347">
        <v>99</v>
      </c>
      <c r="H347" s="47" t="s">
        <v>39</v>
      </c>
      <c r="I347" s="48">
        <v>45026</v>
      </c>
      <c r="J347">
        <v>42</v>
      </c>
      <c r="K347">
        <v>3.1</v>
      </c>
      <c r="L347">
        <f>IF(MONTH(calls[[#This Row],[Date of Call]])&lt;=6,YEAR(calls[[#This Row],[Date of Call]]),YEAR(calls[[#This Row],[Date of Call]])+1)</f>
        <v>2023</v>
      </c>
      <c r="M347" t="str">
        <f>TEXT(calls[[#This Row],[Date of Call]],"DDDD")</f>
        <v>Monday</v>
      </c>
      <c r="N347" t="str" cm="1">
        <f t="array" ref="N34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47">
        <f>ROUND(calls[[#This Row],[Satisfaction Rating]],0)</f>
        <v>3</v>
      </c>
      <c r="P347" s="53">
        <f t="shared" si="5"/>
        <v>307</v>
      </c>
    </row>
    <row r="348" spans="2:16">
      <c r="B348" t="s">
        <v>428</v>
      </c>
      <c r="C348" t="s">
        <v>66</v>
      </c>
      <c r="D348" s="46" t="str" cm="1">
        <f t="array" ref="D348">_xlfn.XLOOKUP(C348,customers[Customer ID],customers[Gender],"")</f>
        <v>Female</v>
      </c>
      <c r="E348" s="46" cm="1">
        <f t="array" ref="E348">_xlfn.XLOOKUP(C348,customers[Customer ID],customers[Age],"")</f>
        <v>30</v>
      </c>
      <c r="F348" s="46" t="str" cm="1">
        <f t="array" ref="F348">_xlfn.XLOOKUP(C348,customers[Customer ID],customers[City],"")</f>
        <v>Cleveland</v>
      </c>
      <c r="G348">
        <v>84</v>
      </c>
      <c r="H348" s="47" t="s">
        <v>39</v>
      </c>
      <c r="I348" s="48">
        <v>45027</v>
      </c>
      <c r="J348">
        <v>38</v>
      </c>
      <c r="K348">
        <v>3.3</v>
      </c>
      <c r="L348">
        <f>IF(MONTH(calls[[#This Row],[Date of Call]])&lt;=6,YEAR(calls[[#This Row],[Date of Call]]),YEAR(calls[[#This Row],[Date of Call]])+1)</f>
        <v>2023</v>
      </c>
      <c r="M348" t="str">
        <f>TEXT(calls[[#This Row],[Date of Call]],"DDDD")</f>
        <v>Tuesday</v>
      </c>
      <c r="N348" t="str" cm="1">
        <f t="array" ref="N34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48">
        <f>ROUND(calls[[#This Row],[Satisfaction Rating]],0)</f>
        <v>3</v>
      </c>
      <c r="P348" s="53">
        <f t="shared" si="5"/>
        <v>307</v>
      </c>
    </row>
    <row r="349" spans="2:16">
      <c r="B349" t="s">
        <v>429</v>
      </c>
      <c r="C349" t="s">
        <v>62</v>
      </c>
      <c r="D349" s="46" t="str" cm="1">
        <f t="array" ref="D349">_xlfn.XLOOKUP(C349,customers[Customer ID],customers[Gender],"")</f>
        <v>Female</v>
      </c>
      <c r="E349" s="46" cm="1">
        <f t="array" ref="E349">_xlfn.XLOOKUP(C349,customers[Customer ID],customers[Age],"")</f>
        <v>28</v>
      </c>
      <c r="F349" s="46" t="str" cm="1">
        <f t="array" ref="F349">_xlfn.XLOOKUP(C349,customers[Customer ID],customers[City],"")</f>
        <v>Cincinnati</v>
      </c>
      <c r="G349">
        <v>159</v>
      </c>
      <c r="H349" s="47" t="s">
        <v>39</v>
      </c>
      <c r="I349" s="48">
        <v>45027</v>
      </c>
      <c r="J349">
        <v>42</v>
      </c>
      <c r="K349">
        <v>4.5</v>
      </c>
      <c r="L349">
        <f>IF(MONTH(calls[[#This Row],[Date of Call]])&lt;=6,YEAR(calls[[#This Row],[Date of Call]]),YEAR(calls[[#This Row],[Date of Call]])+1)</f>
        <v>2023</v>
      </c>
      <c r="M349" t="str">
        <f>TEXT(calls[[#This Row],[Date of Call]],"DDDD")</f>
        <v>Tuesday</v>
      </c>
      <c r="N349" t="str" cm="1">
        <f t="array" ref="N34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49">
        <f>ROUND(calls[[#This Row],[Satisfaction Rating]],0)</f>
        <v>5</v>
      </c>
      <c r="P349" s="53">
        <f t="shared" si="5"/>
        <v>307</v>
      </c>
    </row>
    <row r="350" spans="2:16">
      <c r="B350" t="s">
        <v>430</v>
      </c>
      <c r="C350" t="s">
        <v>64</v>
      </c>
      <c r="D350" s="46" t="str" cm="1">
        <f t="array" ref="D350">_xlfn.XLOOKUP(C350,customers[Customer ID],customers[Gender],"")</f>
        <v>Female</v>
      </c>
      <c r="E350" s="46" cm="1">
        <f t="array" ref="E350">_xlfn.XLOOKUP(C350,customers[Customer ID],customers[Age],"")</f>
        <v>22</v>
      </c>
      <c r="F350" s="46" t="str" cm="1">
        <f t="array" ref="F350">_xlfn.XLOOKUP(C350,customers[Customer ID],customers[City],"")</f>
        <v>Cleveland</v>
      </c>
      <c r="G350">
        <v>25</v>
      </c>
      <c r="H350" s="47" t="s">
        <v>40</v>
      </c>
      <c r="I350" s="48">
        <v>45027</v>
      </c>
      <c r="J350">
        <v>75</v>
      </c>
      <c r="K350">
        <v>3.9</v>
      </c>
      <c r="L350">
        <f>IF(MONTH(calls[[#This Row],[Date of Call]])&lt;=6,YEAR(calls[[#This Row],[Date of Call]]),YEAR(calls[[#This Row],[Date of Call]])+1)</f>
        <v>2023</v>
      </c>
      <c r="M350" t="str">
        <f>TEXT(calls[[#This Row],[Date of Call]],"DDDD")</f>
        <v>Tuesday</v>
      </c>
      <c r="N350" t="str" cm="1">
        <f t="array" ref="N350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350">
        <f>ROUND(calls[[#This Row],[Satisfaction Rating]],0)</f>
        <v>4</v>
      </c>
      <c r="P350" s="53">
        <f t="shared" si="5"/>
        <v>307</v>
      </c>
    </row>
    <row r="351" spans="2:16">
      <c r="B351" t="s">
        <v>431</v>
      </c>
      <c r="C351" t="s">
        <v>62</v>
      </c>
      <c r="D351" s="46" t="str" cm="1">
        <f t="array" ref="D351">_xlfn.XLOOKUP(C351,customers[Customer ID],customers[Gender],"")</f>
        <v>Female</v>
      </c>
      <c r="E351" s="46" cm="1">
        <f t="array" ref="E351">_xlfn.XLOOKUP(C351,customers[Customer ID],customers[Age],"")</f>
        <v>28</v>
      </c>
      <c r="F351" s="46" t="str" cm="1">
        <f t="array" ref="F351">_xlfn.XLOOKUP(C351,customers[Customer ID],customers[City],"")</f>
        <v>Cincinnati</v>
      </c>
      <c r="G351">
        <v>53</v>
      </c>
      <c r="H351" s="47" t="s">
        <v>38</v>
      </c>
      <c r="I351" s="48">
        <v>45028</v>
      </c>
      <c r="J351">
        <v>23</v>
      </c>
      <c r="K351">
        <v>4.9</v>
      </c>
      <c r="L351">
        <f>IF(MONTH(calls[[#This Row],[Date of Call]])&lt;=6,YEAR(calls[[#This Row],[Date of Call]]),YEAR(calls[[#This Row],[Date of Call]])+1)</f>
        <v>2023</v>
      </c>
      <c r="M351" t="str">
        <f>TEXT(calls[[#This Row],[Date of Call]],"DDDD")</f>
        <v>Wednesday</v>
      </c>
      <c r="N351" t="str" cm="1">
        <f t="array" ref="N35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51">
        <f>ROUND(calls[[#This Row],[Satisfaction Rating]],0)</f>
        <v>5</v>
      </c>
      <c r="P351" s="53">
        <f t="shared" si="5"/>
        <v>307</v>
      </c>
    </row>
    <row r="352" spans="2:16">
      <c r="B352" t="s">
        <v>432</v>
      </c>
      <c r="C352" t="s">
        <v>62</v>
      </c>
      <c r="D352" s="46" t="str" cm="1">
        <f t="array" ref="D352">_xlfn.XLOOKUP(C352,customers[Customer ID],customers[Gender],"")</f>
        <v>Female</v>
      </c>
      <c r="E352" s="46" cm="1">
        <f t="array" ref="E352">_xlfn.XLOOKUP(C352,customers[Customer ID],customers[Age],"")</f>
        <v>28</v>
      </c>
      <c r="F352" s="46" t="str" cm="1">
        <f t="array" ref="F352">_xlfn.XLOOKUP(C352,customers[Customer ID],customers[City],"")</f>
        <v>Cincinnati</v>
      </c>
      <c r="G352">
        <v>89</v>
      </c>
      <c r="H352" s="47" t="s">
        <v>40</v>
      </c>
      <c r="I352" s="48">
        <v>45028</v>
      </c>
      <c r="J352">
        <v>200</v>
      </c>
      <c r="K352">
        <v>4.8</v>
      </c>
      <c r="L352">
        <f>IF(MONTH(calls[[#This Row],[Date of Call]])&lt;=6,YEAR(calls[[#This Row],[Date of Call]]),YEAR(calls[[#This Row],[Date of Call]])+1)</f>
        <v>2023</v>
      </c>
      <c r="M352" t="str">
        <f>TEXT(calls[[#This Row],[Date of Call]],"DDDD")</f>
        <v>Wednesday</v>
      </c>
      <c r="N352" t="str" cm="1">
        <f t="array" ref="N35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52">
        <f>ROUND(calls[[#This Row],[Satisfaction Rating]],0)</f>
        <v>5</v>
      </c>
      <c r="P352" s="53">
        <f t="shared" si="5"/>
        <v>307</v>
      </c>
    </row>
    <row r="353" spans="2:16">
      <c r="B353" t="s">
        <v>433</v>
      </c>
      <c r="C353" t="s">
        <v>73</v>
      </c>
      <c r="D353" s="46" t="str" cm="1">
        <f t="array" ref="D353">_xlfn.XLOOKUP(C353,customers[Customer ID],customers[Gender],"")</f>
        <v>Female</v>
      </c>
      <c r="E353" s="46" cm="1">
        <f t="array" ref="E353">_xlfn.XLOOKUP(C353,customers[Customer ID],customers[Age],"")</f>
        <v>38</v>
      </c>
      <c r="F353" s="46" t="str" cm="1">
        <f t="array" ref="F353">_xlfn.XLOOKUP(C353,customers[Customer ID],customers[City],"")</f>
        <v>Columbus</v>
      </c>
      <c r="G353">
        <v>73</v>
      </c>
      <c r="H353" s="47" t="s">
        <v>37</v>
      </c>
      <c r="I353" s="48">
        <v>45029</v>
      </c>
      <c r="J353">
        <v>45</v>
      </c>
      <c r="K353">
        <v>3.6</v>
      </c>
      <c r="L353">
        <f>IF(MONTH(calls[[#This Row],[Date of Call]])&lt;=6,YEAR(calls[[#This Row],[Date of Call]]),YEAR(calls[[#This Row],[Date of Call]])+1)</f>
        <v>2023</v>
      </c>
      <c r="M353" t="str">
        <f>TEXT(calls[[#This Row],[Date of Call]],"DDDD")</f>
        <v>Thursday</v>
      </c>
      <c r="N353" t="str" cm="1">
        <f t="array" ref="N35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53">
        <f>ROUND(calls[[#This Row],[Satisfaction Rating]],0)</f>
        <v>4</v>
      </c>
      <c r="P353" s="53">
        <f t="shared" si="5"/>
        <v>307</v>
      </c>
    </row>
    <row r="354" spans="2:16">
      <c r="B354" t="s">
        <v>434</v>
      </c>
      <c r="C354" t="s">
        <v>68</v>
      </c>
      <c r="D354" s="46" t="str" cm="1">
        <f t="array" ref="D354">_xlfn.XLOOKUP(C354,customers[Customer ID],customers[Gender],"")</f>
        <v>Female</v>
      </c>
      <c r="E354" s="46" cm="1">
        <f t="array" ref="E354">_xlfn.XLOOKUP(C354,customers[Customer ID],customers[Age],"")</f>
        <v>43</v>
      </c>
      <c r="F354" s="46" t="str" cm="1">
        <f t="array" ref="F354">_xlfn.XLOOKUP(C354,customers[Customer ID],customers[City],"")</f>
        <v>Cleveland</v>
      </c>
      <c r="G354">
        <v>50</v>
      </c>
      <c r="H354" s="47" t="s">
        <v>37</v>
      </c>
      <c r="I354" s="48">
        <v>45029</v>
      </c>
      <c r="J354">
        <v>105</v>
      </c>
      <c r="K354">
        <v>3.5</v>
      </c>
      <c r="L354">
        <f>IF(MONTH(calls[[#This Row],[Date of Call]])&lt;=6,YEAR(calls[[#This Row],[Date of Call]]),YEAR(calls[[#This Row],[Date of Call]])+1)</f>
        <v>2023</v>
      </c>
      <c r="M354" t="str">
        <f>TEXT(calls[[#This Row],[Date of Call]],"DDDD")</f>
        <v>Thursday</v>
      </c>
      <c r="N354" t="str" cm="1">
        <f t="array" ref="N35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54">
        <f>ROUND(calls[[#This Row],[Satisfaction Rating]],0)</f>
        <v>4</v>
      </c>
      <c r="P354" s="53">
        <f t="shared" si="5"/>
        <v>307</v>
      </c>
    </row>
    <row r="355" spans="2:16">
      <c r="B355" t="s">
        <v>435</v>
      </c>
      <c r="C355" t="s">
        <v>61</v>
      </c>
      <c r="D355" s="46" t="str" cm="1">
        <f t="array" ref="D355">_xlfn.XLOOKUP(C355,customers[Customer ID],customers[Gender],"")</f>
        <v>Female</v>
      </c>
      <c r="E355" s="46" cm="1">
        <f t="array" ref="E355">_xlfn.XLOOKUP(C355,customers[Customer ID],customers[Age],"")</f>
        <v>30</v>
      </c>
      <c r="F355" s="46" t="str" cm="1">
        <f t="array" ref="F355">_xlfn.XLOOKUP(C355,customers[Customer ID],customers[City],"")</f>
        <v>Cincinnati</v>
      </c>
      <c r="G355">
        <v>98</v>
      </c>
      <c r="H355" s="47" t="s">
        <v>37</v>
      </c>
      <c r="I355" s="48">
        <v>45029</v>
      </c>
      <c r="J355">
        <v>22</v>
      </c>
      <c r="K355">
        <v>3.8</v>
      </c>
      <c r="L355">
        <f>IF(MONTH(calls[[#This Row],[Date of Call]])&lt;=6,YEAR(calls[[#This Row],[Date of Call]]),YEAR(calls[[#This Row],[Date of Call]])+1)</f>
        <v>2023</v>
      </c>
      <c r="M355" t="str">
        <f>TEXT(calls[[#This Row],[Date of Call]],"DDDD")</f>
        <v>Thursday</v>
      </c>
      <c r="N355" t="str" cm="1">
        <f t="array" ref="N3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55">
        <f>ROUND(calls[[#This Row],[Satisfaction Rating]],0)</f>
        <v>4</v>
      </c>
      <c r="P355" s="53">
        <f t="shared" si="5"/>
        <v>307</v>
      </c>
    </row>
    <row r="356" spans="2:16">
      <c r="B356" t="s">
        <v>436</v>
      </c>
      <c r="C356" t="s">
        <v>67</v>
      </c>
      <c r="D356" s="46" t="str" cm="1">
        <f t="array" ref="D356">_xlfn.XLOOKUP(C356,customers[Customer ID],customers[Gender],"")</f>
        <v>Female</v>
      </c>
      <c r="E356" s="46" cm="1">
        <f t="array" ref="E356">_xlfn.XLOOKUP(C356,customers[Customer ID],customers[Age],"")</f>
        <v>37</v>
      </c>
      <c r="F356" s="46" t="str" cm="1">
        <f t="array" ref="F356">_xlfn.XLOOKUP(C356,customers[Customer ID],customers[City],"")</f>
        <v>Cleveland</v>
      </c>
      <c r="G356">
        <v>114</v>
      </c>
      <c r="H356" s="47" t="s">
        <v>39</v>
      </c>
      <c r="I356" s="48">
        <v>45030</v>
      </c>
      <c r="J356">
        <v>126</v>
      </c>
      <c r="K356">
        <v>4.4</v>
      </c>
      <c r="L356">
        <f>IF(MONTH(calls[[#This Row],[Date of Call]])&lt;=6,YEAR(calls[[#This Row],[Date of Call]]),YEAR(calls[[#This Row],[Date of Call]])+1)</f>
        <v>2023</v>
      </c>
      <c r="M356" t="str">
        <f>TEXT(calls[[#This Row],[Date of Call]],"DDDD")</f>
        <v>Friday</v>
      </c>
      <c r="N356" t="str" cm="1">
        <f t="array" ref="N3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56">
        <f>ROUND(calls[[#This Row],[Satisfaction Rating]],0)</f>
        <v>4</v>
      </c>
      <c r="P356" s="53">
        <f t="shared" si="5"/>
        <v>307</v>
      </c>
    </row>
    <row r="357" spans="2:16">
      <c r="B357" t="s">
        <v>437</v>
      </c>
      <c r="C357" t="s">
        <v>71</v>
      </c>
      <c r="D357" s="46" t="str" cm="1">
        <f t="array" ref="D357">_xlfn.XLOOKUP(C357,customers[Customer ID],customers[Gender],"")</f>
        <v>Male</v>
      </c>
      <c r="E357" s="46" cm="1">
        <f t="array" ref="E357">_xlfn.XLOOKUP(C357,customers[Customer ID],customers[Age],"")</f>
        <v>23</v>
      </c>
      <c r="F357" s="46" t="str" cm="1">
        <f t="array" ref="F357">_xlfn.XLOOKUP(C357,customers[Customer ID],customers[City],"")</f>
        <v>Columbus</v>
      </c>
      <c r="G357">
        <v>67</v>
      </c>
      <c r="H357" s="47" t="s">
        <v>39</v>
      </c>
      <c r="I357" s="48">
        <v>45030</v>
      </c>
      <c r="J357">
        <v>35</v>
      </c>
      <c r="K357">
        <v>3</v>
      </c>
      <c r="L357">
        <f>IF(MONTH(calls[[#This Row],[Date of Call]])&lt;=6,YEAR(calls[[#This Row],[Date of Call]]),YEAR(calls[[#This Row],[Date of Call]])+1)</f>
        <v>2023</v>
      </c>
      <c r="M357" t="str">
        <f>TEXT(calls[[#This Row],[Date of Call]],"DDDD")</f>
        <v>Friday</v>
      </c>
      <c r="N357" t="str" cm="1">
        <f t="array" ref="N35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57">
        <f>ROUND(calls[[#This Row],[Satisfaction Rating]],0)</f>
        <v>3</v>
      </c>
      <c r="P357" s="53">
        <f t="shared" si="5"/>
        <v>307</v>
      </c>
    </row>
    <row r="358" spans="2:16">
      <c r="B358" t="s">
        <v>438</v>
      </c>
      <c r="C358" t="s">
        <v>70</v>
      </c>
      <c r="D358" s="46" t="str" cm="1">
        <f t="array" ref="D358">_xlfn.XLOOKUP(C358,customers[Customer ID],customers[Gender],"")</f>
        <v>Male</v>
      </c>
      <c r="E358" s="46" cm="1">
        <f t="array" ref="E358">_xlfn.XLOOKUP(C358,customers[Customer ID],customers[Age],"")</f>
        <v>37</v>
      </c>
      <c r="F358" s="46" t="str" cm="1">
        <f t="array" ref="F358">_xlfn.XLOOKUP(C358,customers[Customer ID],customers[City],"")</f>
        <v>Columbus</v>
      </c>
      <c r="G358">
        <v>91</v>
      </c>
      <c r="H358" s="47" t="s">
        <v>37</v>
      </c>
      <c r="I358" s="48">
        <v>45030</v>
      </c>
      <c r="J358">
        <v>84</v>
      </c>
      <c r="K358">
        <v>4.5</v>
      </c>
      <c r="L358">
        <f>IF(MONTH(calls[[#This Row],[Date of Call]])&lt;=6,YEAR(calls[[#This Row],[Date of Call]]),YEAR(calls[[#This Row],[Date of Call]])+1)</f>
        <v>2023</v>
      </c>
      <c r="M358" t="str">
        <f>TEXT(calls[[#This Row],[Date of Call]],"DDDD")</f>
        <v>Friday</v>
      </c>
      <c r="N358" t="str" cm="1">
        <f t="array" ref="N3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58">
        <f>ROUND(calls[[#This Row],[Satisfaction Rating]],0)</f>
        <v>5</v>
      </c>
      <c r="P358" s="53">
        <f t="shared" si="5"/>
        <v>307</v>
      </c>
    </row>
    <row r="359" spans="2:16">
      <c r="B359" t="s">
        <v>439</v>
      </c>
      <c r="C359" t="s">
        <v>65</v>
      </c>
      <c r="D359" s="46" t="str" cm="1">
        <f t="array" ref="D359">_xlfn.XLOOKUP(C359,customers[Customer ID],customers[Gender],"")</f>
        <v>Female</v>
      </c>
      <c r="E359" s="46" cm="1">
        <f t="array" ref="E359">_xlfn.XLOOKUP(C359,customers[Customer ID],customers[Age],"")</f>
        <v>42</v>
      </c>
      <c r="F359" s="46" t="str" cm="1">
        <f t="array" ref="F359">_xlfn.XLOOKUP(C359,customers[Customer ID],customers[City],"")</f>
        <v>Cleveland</v>
      </c>
      <c r="G359">
        <v>67</v>
      </c>
      <c r="H359" s="47" t="s">
        <v>37</v>
      </c>
      <c r="I359" s="48">
        <v>45031</v>
      </c>
      <c r="J359">
        <v>172</v>
      </c>
      <c r="K359">
        <v>4.5</v>
      </c>
      <c r="L359">
        <f>IF(MONTH(calls[[#This Row],[Date of Call]])&lt;=6,YEAR(calls[[#This Row],[Date of Call]]),YEAR(calls[[#This Row],[Date of Call]])+1)</f>
        <v>2023</v>
      </c>
      <c r="M359" t="str">
        <f>TEXT(calls[[#This Row],[Date of Call]],"DDDD")</f>
        <v>Saturday</v>
      </c>
      <c r="N359" t="str" cm="1">
        <f t="array" ref="N35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59">
        <f>ROUND(calls[[#This Row],[Satisfaction Rating]],0)</f>
        <v>5</v>
      </c>
      <c r="P359" s="53">
        <f t="shared" si="5"/>
        <v>307</v>
      </c>
    </row>
    <row r="360" spans="2:16">
      <c r="B360" t="s">
        <v>440</v>
      </c>
      <c r="C360" t="s">
        <v>67</v>
      </c>
      <c r="D360" s="46" t="str" cm="1">
        <f t="array" ref="D360">_xlfn.XLOOKUP(C360,customers[Customer ID],customers[Gender],"")</f>
        <v>Female</v>
      </c>
      <c r="E360" s="46" cm="1">
        <f t="array" ref="E360">_xlfn.XLOOKUP(C360,customers[Customer ID],customers[Age],"")</f>
        <v>37</v>
      </c>
      <c r="F360" s="46" t="str" cm="1">
        <f t="array" ref="F360">_xlfn.XLOOKUP(C360,customers[Customer ID],customers[City],"")</f>
        <v>Cleveland</v>
      </c>
      <c r="G360">
        <v>139</v>
      </c>
      <c r="H360" s="47" t="s">
        <v>40</v>
      </c>
      <c r="I360" s="48">
        <v>45031</v>
      </c>
      <c r="J360">
        <v>114</v>
      </c>
      <c r="K360">
        <v>4</v>
      </c>
      <c r="L360">
        <f>IF(MONTH(calls[[#This Row],[Date of Call]])&lt;=6,YEAR(calls[[#This Row],[Date of Call]]),YEAR(calls[[#This Row],[Date of Call]])+1)</f>
        <v>2023</v>
      </c>
      <c r="M360" t="str">
        <f>TEXT(calls[[#This Row],[Date of Call]],"DDDD")</f>
        <v>Saturday</v>
      </c>
      <c r="N360" t="str" cm="1">
        <f t="array" ref="N36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60">
        <f>ROUND(calls[[#This Row],[Satisfaction Rating]],0)</f>
        <v>4</v>
      </c>
      <c r="P360" s="53">
        <f t="shared" si="5"/>
        <v>307</v>
      </c>
    </row>
    <row r="361" spans="2:16">
      <c r="B361" t="s">
        <v>441</v>
      </c>
      <c r="C361" t="s">
        <v>65</v>
      </c>
      <c r="D361" s="46" t="str" cm="1">
        <f t="array" ref="D361">_xlfn.XLOOKUP(C361,customers[Customer ID],customers[Gender],"")</f>
        <v>Female</v>
      </c>
      <c r="E361" s="46" cm="1">
        <f t="array" ref="E361">_xlfn.XLOOKUP(C361,customers[Customer ID],customers[Age],"")</f>
        <v>42</v>
      </c>
      <c r="F361" s="46" t="str" cm="1">
        <f t="array" ref="F361">_xlfn.XLOOKUP(C361,customers[Customer ID],customers[City],"")</f>
        <v>Cleveland</v>
      </c>
      <c r="G361">
        <v>102</v>
      </c>
      <c r="H361" s="47" t="s">
        <v>40</v>
      </c>
      <c r="I361" s="48">
        <v>45031</v>
      </c>
      <c r="J361">
        <v>60</v>
      </c>
      <c r="K361">
        <v>3.8</v>
      </c>
      <c r="L361">
        <f>IF(MONTH(calls[[#This Row],[Date of Call]])&lt;=6,YEAR(calls[[#This Row],[Date of Call]]),YEAR(calls[[#This Row],[Date of Call]])+1)</f>
        <v>2023</v>
      </c>
      <c r="M361" t="str">
        <f>TEXT(calls[[#This Row],[Date of Call]],"DDDD")</f>
        <v>Saturday</v>
      </c>
      <c r="N361" t="str" cm="1">
        <f t="array" ref="N36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61">
        <f>ROUND(calls[[#This Row],[Satisfaction Rating]],0)</f>
        <v>4</v>
      </c>
      <c r="P361" s="53">
        <f t="shared" si="5"/>
        <v>307</v>
      </c>
    </row>
    <row r="362" spans="2:16">
      <c r="B362" t="s">
        <v>442</v>
      </c>
      <c r="C362" t="s">
        <v>69</v>
      </c>
      <c r="D362" s="46" t="str" cm="1">
        <f t="array" ref="D362">_xlfn.XLOOKUP(C362,customers[Customer ID],customers[Gender],"")</f>
        <v>Male</v>
      </c>
      <c r="E362" s="46" cm="1">
        <f t="array" ref="E362">_xlfn.XLOOKUP(C362,customers[Customer ID],customers[Age],"")</f>
        <v>41</v>
      </c>
      <c r="F362" s="46" t="str" cm="1">
        <f t="array" ref="F362">_xlfn.XLOOKUP(C362,customers[Customer ID],customers[City],"")</f>
        <v>Columbus</v>
      </c>
      <c r="G362">
        <v>108</v>
      </c>
      <c r="H362" s="47" t="s">
        <v>36</v>
      </c>
      <c r="I362" s="48">
        <v>45031</v>
      </c>
      <c r="J362">
        <v>26</v>
      </c>
      <c r="K362">
        <v>3.3</v>
      </c>
      <c r="L362">
        <f>IF(MONTH(calls[[#This Row],[Date of Call]])&lt;=6,YEAR(calls[[#This Row],[Date of Call]]),YEAR(calls[[#This Row],[Date of Call]])+1)</f>
        <v>2023</v>
      </c>
      <c r="M362" t="str">
        <f>TEXT(calls[[#This Row],[Date of Call]],"DDDD")</f>
        <v>Saturday</v>
      </c>
      <c r="N362" t="str" cm="1">
        <f t="array" ref="N3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62">
        <f>ROUND(calls[[#This Row],[Satisfaction Rating]],0)</f>
        <v>3</v>
      </c>
      <c r="P362" s="53">
        <f t="shared" si="5"/>
        <v>307</v>
      </c>
    </row>
    <row r="363" spans="2:16">
      <c r="B363" t="s">
        <v>443</v>
      </c>
      <c r="C363" t="s">
        <v>64</v>
      </c>
      <c r="D363" s="46" t="str" cm="1">
        <f t="array" ref="D363">_xlfn.XLOOKUP(C363,customers[Customer ID],customers[Gender],"")</f>
        <v>Female</v>
      </c>
      <c r="E363" s="46" cm="1">
        <f t="array" ref="E363">_xlfn.XLOOKUP(C363,customers[Customer ID],customers[Age],"")</f>
        <v>22</v>
      </c>
      <c r="F363" s="46" t="str" cm="1">
        <f t="array" ref="F363">_xlfn.XLOOKUP(C363,customers[Customer ID],customers[City],"")</f>
        <v>Cleveland</v>
      </c>
      <c r="G363">
        <v>66</v>
      </c>
      <c r="H363" s="47" t="s">
        <v>37</v>
      </c>
      <c r="I363" s="48">
        <v>45031</v>
      </c>
      <c r="J363">
        <v>210</v>
      </c>
      <c r="K363">
        <v>4.3</v>
      </c>
      <c r="L363">
        <f>IF(MONTH(calls[[#This Row],[Date of Call]])&lt;=6,YEAR(calls[[#This Row],[Date of Call]]),YEAR(calls[[#This Row],[Date of Call]])+1)</f>
        <v>2023</v>
      </c>
      <c r="M363" t="str">
        <f>TEXT(calls[[#This Row],[Date of Call]],"DDDD")</f>
        <v>Saturday</v>
      </c>
      <c r="N363" t="str" cm="1">
        <f t="array" ref="N36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63">
        <f>ROUND(calls[[#This Row],[Satisfaction Rating]],0)</f>
        <v>4</v>
      </c>
      <c r="P363" s="53">
        <f t="shared" si="5"/>
        <v>307</v>
      </c>
    </row>
    <row r="364" spans="2:16">
      <c r="B364" t="s">
        <v>444</v>
      </c>
      <c r="C364" t="s">
        <v>72</v>
      </c>
      <c r="D364" s="46" t="str" cm="1">
        <f t="array" ref="D364">_xlfn.XLOOKUP(C364,customers[Customer ID],customers[Gender],"")</f>
        <v>Female</v>
      </c>
      <c r="E364" s="46" cm="1">
        <f t="array" ref="E364">_xlfn.XLOOKUP(C364,customers[Customer ID],customers[Age],"")</f>
        <v>25</v>
      </c>
      <c r="F364" s="46" t="str" cm="1">
        <f t="array" ref="F364">_xlfn.XLOOKUP(C364,customers[Customer ID],customers[City],"")</f>
        <v>Columbus</v>
      </c>
      <c r="G364">
        <v>85</v>
      </c>
      <c r="H364" s="47" t="s">
        <v>40</v>
      </c>
      <c r="I364" s="48">
        <v>45031</v>
      </c>
      <c r="J364">
        <v>129</v>
      </c>
      <c r="K364">
        <v>4.2</v>
      </c>
      <c r="L364">
        <f>IF(MONTH(calls[[#This Row],[Date of Call]])&lt;=6,YEAR(calls[[#This Row],[Date of Call]]),YEAR(calls[[#This Row],[Date of Call]])+1)</f>
        <v>2023</v>
      </c>
      <c r="M364" t="str">
        <f>TEXT(calls[[#This Row],[Date of Call]],"DDDD")</f>
        <v>Saturday</v>
      </c>
      <c r="N364" t="str" cm="1">
        <f t="array" ref="N3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64">
        <f>ROUND(calls[[#This Row],[Satisfaction Rating]],0)</f>
        <v>4</v>
      </c>
      <c r="P364" s="53">
        <f t="shared" si="5"/>
        <v>307</v>
      </c>
    </row>
    <row r="365" spans="2:16">
      <c r="B365" t="s">
        <v>445</v>
      </c>
      <c r="C365" t="s">
        <v>71</v>
      </c>
      <c r="D365" s="46" t="str" cm="1">
        <f t="array" ref="D365">_xlfn.XLOOKUP(C365,customers[Customer ID],customers[Gender],"")</f>
        <v>Male</v>
      </c>
      <c r="E365" s="46" cm="1">
        <f t="array" ref="E365">_xlfn.XLOOKUP(C365,customers[Customer ID],customers[Age],"")</f>
        <v>23</v>
      </c>
      <c r="F365" s="46" t="str" cm="1">
        <f t="array" ref="F365">_xlfn.XLOOKUP(C365,customers[Customer ID],customers[City],"")</f>
        <v>Columbus</v>
      </c>
      <c r="G365">
        <v>55</v>
      </c>
      <c r="H365" s="47" t="s">
        <v>36</v>
      </c>
      <c r="I365" s="48">
        <v>45031</v>
      </c>
      <c r="J365">
        <v>215</v>
      </c>
      <c r="K365">
        <v>4.3</v>
      </c>
      <c r="L365">
        <f>IF(MONTH(calls[[#This Row],[Date of Call]])&lt;=6,YEAR(calls[[#This Row],[Date of Call]]),YEAR(calls[[#This Row],[Date of Call]])+1)</f>
        <v>2023</v>
      </c>
      <c r="M365" t="str">
        <f>TEXT(calls[[#This Row],[Date of Call]],"DDDD")</f>
        <v>Saturday</v>
      </c>
      <c r="N365" t="str" cm="1">
        <f t="array" ref="N36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65">
        <f>ROUND(calls[[#This Row],[Satisfaction Rating]],0)</f>
        <v>4</v>
      </c>
      <c r="P365" s="53">
        <f t="shared" si="5"/>
        <v>307</v>
      </c>
    </row>
    <row r="366" spans="2:16">
      <c r="B366" t="s">
        <v>446</v>
      </c>
      <c r="C366" t="s">
        <v>69</v>
      </c>
      <c r="D366" s="46" t="str" cm="1">
        <f t="array" ref="D366">_xlfn.XLOOKUP(C366,customers[Customer ID],customers[Gender],"")</f>
        <v>Male</v>
      </c>
      <c r="E366" s="46" cm="1">
        <f t="array" ref="E366">_xlfn.XLOOKUP(C366,customers[Customer ID],customers[Age],"")</f>
        <v>41</v>
      </c>
      <c r="F366" s="46" t="str" cm="1">
        <f t="array" ref="F366">_xlfn.XLOOKUP(C366,customers[Customer ID],customers[City],"")</f>
        <v>Columbus</v>
      </c>
      <c r="G366">
        <v>17</v>
      </c>
      <c r="H366" s="47" t="s">
        <v>38</v>
      </c>
      <c r="I366" s="48">
        <v>45031</v>
      </c>
      <c r="J366">
        <v>69</v>
      </c>
      <c r="K366">
        <v>4.6</v>
      </c>
      <c r="L366">
        <f>IF(MONTH(calls[[#This Row],[Date of Call]])&lt;=6,YEAR(calls[[#This Row],[Date of Call]]),YEAR(calls[[#This Row],[Date of Call]])+1)</f>
        <v>2023</v>
      </c>
      <c r="M366" t="str">
        <f>TEXT(calls[[#This Row],[Date of Call]],"DDDD")</f>
        <v>Saturday</v>
      </c>
      <c r="N366" t="str" cm="1">
        <f t="array" ref="N36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366">
        <f>ROUND(calls[[#This Row],[Satisfaction Rating]],0)</f>
        <v>5</v>
      </c>
      <c r="P366" s="53">
        <f t="shared" si="5"/>
        <v>307</v>
      </c>
    </row>
    <row r="367" spans="2:16">
      <c r="B367" t="s">
        <v>447</v>
      </c>
      <c r="C367" t="s">
        <v>71</v>
      </c>
      <c r="D367" s="46" t="str" cm="1">
        <f t="array" ref="D367">_xlfn.XLOOKUP(C367,customers[Customer ID],customers[Gender],"")</f>
        <v>Male</v>
      </c>
      <c r="E367" s="46" cm="1">
        <f t="array" ref="E367">_xlfn.XLOOKUP(C367,customers[Customer ID],customers[Age],"")</f>
        <v>23</v>
      </c>
      <c r="F367" s="46" t="str" cm="1">
        <f t="array" ref="F367">_xlfn.XLOOKUP(C367,customers[Customer ID],customers[City],"")</f>
        <v>Columbus</v>
      </c>
      <c r="G367">
        <v>128</v>
      </c>
      <c r="H367" s="47" t="s">
        <v>38</v>
      </c>
      <c r="I367" s="48">
        <v>45031</v>
      </c>
      <c r="J367">
        <v>140</v>
      </c>
      <c r="K367">
        <v>3</v>
      </c>
      <c r="L367">
        <f>IF(MONTH(calls[[#This Row],[Date of Call]])&lt;=6,YEAR(calls[[#This Row],[Date of Call]]),YEAR(calls[[#This Row],[Date of Call]])+1)</f>
        <v>2023</v>
      </c>
      <c r="M367" t="str">
        <f>TEXT(calls[[#This Row],[Date of Call]],"DDDD")</f>
        <v>Saturday</v>
      </c>
      <c r="N367" t="str" cm="1">
        <f t="array" ref="N36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67">
        <f>ROUND(calls[[#This Row],[Satisfaction Rating]],0)</f>
        <v>3</v>
      </c>
      <c r="P367" s="53">
        <f t="shared" si="5"/>
        <v>307</v>
      </c>
    </row>
    <row r="368" spans="2:16">
      <c r="B368" t="s">
        <v>448</v>
      </c>
      <c r="C368" t="s">
        <v>68</v>
      </c>
      <c r="D368" s="46" t="str" cm="1">
        <f t="array" ref="D368">_xlfn.XLOOKUP(C368,customers[Customer ID],customers[Gender],"")</f>
        <v>Female</v>
      </c>
      <c r="E368" s="46" cm="1">
        <f t="array" ref="E368">_xlfn.XLOOKUP(C368,customers[Customer ID],customers[Age],"")</f>
        <v>43</v>
      </c>
      <c r="F368" s="46" t="str" cm="1">
        <f t="array" ref="F368">_xlfn.XLOOKUP(C368,customers[Customer ID],customers[City],"")</f>
        <v>Cleveland</v>
      </c>
      <c r="G368">
        <v>45</v>
      </c>
      <c r="H368" s="47" t="s">
        <v>36</v>
      </c>
      <c r="I368" s="48">
        <v>45032</v>
      </c>
      <c r="J368">
        <v>156</v>
      </c>
      <c r="K368">
        <v>2.7</v>
      </c>
      <c r="L368">
        <f>IF(MONTH(calls[[#This Row],[Date of Call]])&lt;=6,YEAR(calls[[#This Row],[Date of Call]]),YEAR(calls[[#This Row],[Date of Call]])+1)</f>
        <v>2023</v>
      </c>
      <c r="M368" t="str">
        <f>TEXT(calls[[#This Row],[Date of Call]],"DDDD")</f>
        <v>Sunday</v>
      </c>
      <c r="N368" t="str" cm="1">
        <f t="array" ref="N36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68">
        <f>ROUND(calls[[#This Row],[Satisfaction Rating]],0)</f>
        <v>3</v>
      </c>
      <c r="P368" s="53">
        <f t="shared" si="5"/>
        <v>307</v>
      </c>
    </row>
    <row r="369" spans="2:16">
      <c r="B369" t="s">
        <v>449</v>
      </c>
      <c r="C369" t="s">
        <v>69</v>
      </c>
      <c r="D369" s="46" t="str" cm="1">
        <f t="array" ref="D369">_xlfn.XLOOKUP(C369,customers[Customer ID],customers[Gender],"")</f>
        <v>Male</v>
      </c>
      <c r="E369" s="46" cm="1">
        <f t="array" ref="E369">_xlfn.XLOOKUP(C369,customers[Customer ID],customers[Age],"")</f>
        <v>41</v>
      </c>
      <c r="F369" s="46" t="str" cm="1">
        <f t="array" ref="F369">_xlfn.XLOOKUP(C369,customers[Customer ID],customers[City],"")</f>
        <v>Columbus</v>
      </c>
      <c r="G369">
        <v>41</v>
      </c>
      <c r="H369" s="47" t="s">
        <v>38</v>
      </c>
      <c r="I369" s="48">
        <v>45032</v>
      </c>
      <c r="J369">
        <v>164</v>
      </c>
      <c r="K369">
        <v>3.1</v>
      </c>
      <c r="L369">
        <f>IF(MONTH(calls[[#This Row],[Date of Call]])&lt;=6,YEAR(calls[[#This Row],[Date of Call]]),YEAR(calls[[#This Row],[Date of Call]])+1)</f>
        <v>2023</v>
      </c>
      <c r="M369" t="str">
        <f>TEXT(calls[[#This Row],[Date of Call]],"DDDD")</f>
        <v>Sunday</v>
      </c>
      <c r="N369" t="str" cm="1">
        <f t="array" ref="N36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69">
        <f>ROUND(calls[[#This Row],[Satisfaction Rating]],0)</f>
        <v>3</v>
      </c>
      <c r="P369" s="53">
        <f t="shared" si="5"/>
        <v>307</v>
      </c>
    </row>
    <row r="370" spans="2:16">
      <c r="B370" t="s">
        <v>450</v>
      </c>
      <c r="C370" t="s">
        <v>63</v>
      </c>
      <c r="D370" s="46" t="str" cm="1">
        <f t="array" ref="D370">_xlfn.XLOOKUP(C370,customers[Customer ID],customers[Gender],"")</f>
        <v>Male</v>
      </c>
      <c r="E370" s="46" cm="1">
        <f t="array" ref="E370">_xlfn.XLOOKUP(C370,customers[Customer ID],customers[Age],"")</f>
        <v>31</v>
      </c>
      <c r="F370" s="46" t="str" cm="1">
        <f t="array" ref="F370">_xlfn.XLOOKUP(C370,customers[Customer ID],customers[City],"")</f>
        <v>Cleveland</v>
      </c>
      <c r="G370">
        <v>49</v>
      </c>
      <c r="H370" s="47" t="s">
        <v>38</v>
      </c>
      <c r="I370" s="48">
        <v>45032</v>
      </c>
      <c r="J370">
        <v>195</v>
      </c>
      <c r="K370">
        <v>2.6</v>
      </c>
      <c r="L370">
        <f>IF(MONTH(calls[[#This Row],[Date of Call]])&lt;=6,YEAR(calls[[#This Row],[Date of Call]]),YEAR(calls[[#This Row],[Date of Call]])+1)</f>
        <v>2023</v>
      </c>
      <c r="M370" t="str">
        <f>TEXT(calls[[#This Row],[Date of Call]],"DDDD")</f>
        <v>Sunday</v>
      </c>
      <c r="N370" t="str" cm="1">
        <f t="array" ref="N37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70">
        <f>ROUND(calls[[#This Row],[Satisfaction Rating]],0)</f>
        <v>3</v>
      </c>
      <c r="P370" s="53">
        <f t="shared" si="5"/>
        <v>307</v>
      </c>
    </row>
    <row r="371" spans="2:16">
      <c r="B371" t="s">
        <v>451</v>
      </c>
      <c r="C371" t="s">
        <v>60</v>
      </c>
      <c r="D371" s="46" t="str" cm="1">
        <f t="array" ref="D371">_xlfn.XLOOKUP(C371,customers[Customer ID],customers[Gender],"")</f>
        <v>Male</v>
      </c>
      <c r="E371" s="46" cm="1">
        <f t="array" ref="E371">_xlfn.XLOOKUP(C371,customers[Customer ID],customers[Age],"")</f>
        <v>36</v>
      </c>
      <c r="F371" s="46" t="str" cm="1">
        <f t="array" ref="F371">_xlfn.XLOOKUP(C371,customers[Customer ID],customers[City],"")</f>
        <v>Cincinnati</v>
      </c>
      <c r="G371">
        <v>21</v>
      </c>
      <c r="H371" s="47" t="s">
        <v>39</v>
      </c>
      <c r="I371" s="48">
        <v>45032</v>
      </c>
      <c r="J371">
        <v>74</v>
      </c>
      <c r="K371">
        <v>4.6</v>
      </c>
      <c r="L371">
        <f>IF(MONTH(calls[[#This Row],[Date of Call]])&lt;=6,YEAR(calls[[#This Row],[Date of Call]]),YEAR(calls[[#This Row],[Date of Call]])+1)</f>
        <v>2023</v>
      </c>
      <c r="M371" t="str">
        <f>TEXT(calls[[#This Row],[Date of Call]],"DDDD")</f>
        <v>Sunday</v>
      </c>
      <c r="N371" t="str" cm="1">
        <f t="array" ref="N371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371">
        <f>ROUND(calls[[#This Row],[Satisfaction Rating]],0)</f>
        <v>5</v>
      </c>
      <c r="P371" s="53">
        <f t="shared" si="5"/>
        <v>307</v>
      </c>
    </row>
    <row r="372" spans="2:16">
      <c r="B372" t="s">
        <v>452</v>
      </c>
      <c r="C372" t="s">
        <v>62</v>
      </c>
      <c r="D372" s="46" t="str" cm="1">
        <f t="array" ref="D372">_xlfn.XLOOKUP(C372,customers[Customer ID],customers[Gender],"")</f>
        <v>Female</v>
      </c>
      <c r="E372" s="46" cm="1">
        <f t="array" ref="E372">_xlfn.XLOOKUP(C372,customers[Customer ID],customers[Age],"")</f>
        <v>28</v>
      </c>
      <c r="F372" s="46" t="str" cm="1">
        <f t="array" ref="F372">_xlfn.XLOOKUP(C372,customers[Customer ID],customers[City],"")</f>
        <v>Cincinnati</v>
      </c>
      <c r="G372">
        <v>133</v>
      </c>
      <c r="H372" s="47" t="s">
        <v>36</v>
      </c>
      <c r="I372" s="48">
        <v>45032</v>
      </c>
      <c r="J372">
        <v>100</v>
      </c>
      <c r="K372">
        <v>4</v>
      </c>
      <c r="L372">
        <f>IF(MONTH(calls[[#This Row],[Date of Call]])&lt;=6,YEAR(calls[[#This Row],[Date of Call]]),YEAR(calls[[#This Row],[Date of Call]])+1)</f>
        <v>2023</v>
      </c>
      <c r="M372" t="str">
        <f>TEXT(calls[[#This Row],[Date of Call]],"DDDD")</f>
        <v>Sunday</v>
      </c>
      <c r="N372" t="str" cm="1">
        <f t="array" ref="N37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72">
        <f>ROUND(calls[[#This Row],[Satisfaction Rating]],0)</f>
        <v>4</v>
      </c>
      <c r="P372" s="53">
        <f t="shared" si="5"/>
        <v>307</v>
      </c>
    </row>
    <row r="373" spans="2:16">
      <c r="B373" t="s">
        <v>453</v>
      </c>
      <c r="C373" t="s">
        <v>59</v>
      </c>
      <c r="D373" s="46" t="str" cm="1">
        <f t="array" ref="D373">_xlfn.XLOOKUP(C373,customers[Customer ID],customers[Gender],"")</f>
        <v>Male</v>
      </c>
      <c r="E373" s="46" cm="1">
        <f t="array" ref="E373">_xlfn.XLOOKUP(C373,customers[Customer ID],customers[Age],"")</f>
        <v>26</v>
      </c>
      <c r="F373" s="46" t="str" cm="1">
        <f t="array" ref="F373">_xlfn.XLOOKUP(C373,customers[Customer ID],customers[City],"")</f>
        <v>Cincinnati</v>
      </c>
      <c r="G373">
        <v>135</v>
      </c>
      <c r="H373" s="47" t="s">
        <v>37</v>
      </c>
      <c r="I373" s="48">
        <v>45032</v>
      </c>
      <c r="J373">
        <v>185</v>
      </c>
      <c r="K373">
        <v>4.5</v>
      </c>
      <c r="L373">
        <f>IF(MONTH(calls[[#This Row],[Date of Call]])&lt;=6,YEAR(calls[[#This Row],[Date of Call]]),YEAR(calls[[#This Row],[Date of Call]])+1)</f>
        <v>2023</v>
      </c>
      <c r="M373" t="str">
        <f>TEXT(calls[[#This Row],[Date of Call]],"DDDD")</f>
        <v>Sunday</v>
      </c>
      <c r="N373" t="str" cm="1">
        <f t="array" ref="N37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73">
        <f>ROUND(calls[[#This Row],[Satisfaction Rating]],0)</f>
        <v>5</v>
      </c>
      <c r="P373" s="53">
        <f t="shared" si="5"/>
        <v>307</v>
      </c>
    </row>
    <row r="374" spans="2:16">
      <c r="B374" t="s">
        <v>454</v>
      </c>
      <c r="C374" t="s">
        <v>67</v>
      </c>
      <c r="D374" s="46" t="str" cm="1">
        <f t="array" ref="D374">_xlfn.XLOOKUP(C374,customers[Customer ID],customers[Gender],"")</f>
        <v>Female</v>
      </c>
      <c r="E374" s="46" cm="1">
        <f t="array" ref="E374">_xlfn.XLOOKUP(C374,customers[Customer ID],customers[Age],"")</f>
        <v>37</v>
      </c>
      <c r="F374" s="46" t="str" cm="1">
        <f t="array" ref="F374">_xlfn.XLOOKUP(C374,customers[Customer ID],customers[City],"")</f>
        <v>Cleveland</v>
      </c>
      <c r="G374">
        <v>69</v>
      </c>
      <c r="H374" s="47" t="s">
        <v>36</v>
      </c>
      <c r="I374" s="48">
        <v>45032</v>
      </c>
      <c r="J374">
        <v>130</v>
      </c>
      <c r="K374">
        <v>1.9</v>
      </c>
      <c r="L374">
        <f>IF(MONTH(calls[[#This Row],[Date of Call]])&lt;=6,YEAR(calls[[#This Row],[Date of Call]]),YEAR(calls[[#This Row],[Date of Call]])+1)</f>
        <v>2023</v>
      </c>
      <c r="M374" t="str">
        <f>TEXT(calls[[#This Row],[Date of Call]],"DDDD")</f>
        <v>Sunday</v>
      </c>
      <c r="N374" t="str" cm="1">
        <f t="array" ref="N3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74">
        <f>ROUND(calls[[#This Row],[Satisfaction Rating]],0)</f>
        <v>2</v>
      </c>
      <c r="P374" s="53">
        <f t="shared" si="5"/>
        <v>307</v>
      </c>
    </row>
    <row r="375" spans="2:16">
      <c r="B375" t="s">
        <v>455</v>
      </c>
      <c r="C375" t="s">
        <v>66</v>
      </c>
      <c r="D375" s="46" t="str" cm="1">
        <f t="array" ref="D375">_xlfn.XLOOKUP(C375,customers[Customer ID],customers[Gender],"")</f>
        <v>Female</v>
      </c>
      <c r="E375" s="46" cm="1">
        <f t="array" ref="E375">_xlfn.XLOOKUP(C375,customers[Customer ID],customers[Age],"")</f>
        <v>30</v>
      </c>
      <c r="F375" s="46" t="str" cm="1">
        <f t="array" ref="F375">_xlfn.XLOOKUP(C375,customers[Customer ID],customers[City],"")</f>
        <v>Cleveland</v>
      </c>
      <c r="G375">
        <v>110</v>
      </c>
      <c r="H375" s="47" t="s">
        <v>39</v>
      </c>
      <c r="I375" s="48">
        <v>45033</v>
      </c>
      <c r="J375">
        <v>21</v>
      </c>
      <c r="K375">
        <v>2.6</v>
      </c>
      <c r="L375">
        <f>IF(MONTH(calls[[#This Row],[Date of Call]])&lt;=6,YEAR(calls[[#This Row],[Date of Call]]),YEAR(calls[[#This Row],[Date of Call]])+1)</f>
        <v>2023</v>
      </c>
      <c r="M375" t="str">
        <f>TEXT(calls[[#This Row],[Date of Call]],"DDDD")</f>
        <v>Monday</v>
      </c>
      <c r="N375" t="str" cm="1">
        <f t="array" ref="N37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75">
        <f>ROUND(calls[[#This Row],[Satisfaction Rating]],0)</f>
        <v>3</v>
      </c>
      <c r="P375" s="53">
        <f t="shared" si="5"/>
        <v>307</v>
      </c>
    </row>
    <row r="376" spans="2:16">
      <c r="B376" t="s">
        <v>456</v>
      </c>
      <c r="C376" t="s">
        <v>65</v>
      </c>
      <c r="D376" s="46" t="str" cm="1">
        <f t="array" ref="D376">_xlfn.XLOOKUP(C376,customers[Customer ID],customers[Gender],"")</f>
        <v>Female</v>
      </c>
      <c r="E376" s="46" cm="1">
        <f t="array" ref="E376">_xlfn.XLOOKUP(C376,customers[Customer ID],customers[Age],"")</f>
        <v>42</v>
      </c>
      <c r="F376" s="46" t="str" cm="1">
        <f t="array" ref="F376">_xlfn.XLOOKUP(C376,customers[Customer ID],customers[City],"")</f>
        <v>Cleveland</v>
      </c>
      <c r="G376">
        <v>64</v>
      </c>
      <c r="H376" s="47" t="s">
        <v>40</v>
      </c>
      <c r="I376" s="48">
        <v>45033</v>
      </c>
      <c r="J376">
        <v>88</v>
      </c>
      <c r="K376">
        <v>4.3</v>
      </c>
      <c r="L376">
        <f>IF(MONTH(calls[[#This Row],[Date of Call]])&lt;=6,YEAR(calls[[#This Row],[Date of Call]]),YEAR(calls[[#This Row],[Date of Call]])+1)</f>
        <v>2023</v>
      </c>
      <c r="M376" t="str">
        <f>TEXT(calls[[#This Row],[Date of Call]],"DDDD")</f>
        <v>Monday</v>
      </c>
      <c r="N376" t="str" cm="1">
        <f t="array" ref="N37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76">
        <f>ROUND(calls[[#This Row],[Satisfaction Rating]],0)</f>
        <v>4</v>
      </c>
      <c r="P376" s="53">
        <f t="shared" si="5"/>
        <v>307</v>
      </c>
    </row>
    <row r="377" spans="2:16">
      <c r="B377" t="s">
        <v>457</v>
      </c>
      <c r="C377" t="s">
        <v>70</v>
      </c>
      <c r="D377" s="46" t="str" cm="1">
        <f t="array" ref="D377">_xlfn.XLOOKUP(C377,customers[Customer ID],customers[Gender],"")</f>
        <v>Male</v>
      </c>
      <c r="E377" s="46" cm="1">
        <f t="array" ref="E377">_xlfn.XLOOKUP(C377,customers[Customer ID],customers[Age],"")</f>
        <v>37</v>
      </c>
      <c r="F377" s="46" t="str" cm="1">
        <f t="array" ref="F377">_xlfn.XLOOKUP(C377,customers[Customer ID],customers[City],"")</f>
        <v>Columbus</v>
      </c>
      <c r="G377">
        <v>105</v>
      </c>
      <c r="H377" s="47" t="s">
        <v>38</v>
      </c>
      <c r="I377" s="48">
        <v>45033</v>
      </c>
      <c r="J377">
        <v>35</v>
      </c>
      <c r="K377">
        <v>4.4</v>
      </c>
      <c r="L377">
        <f>IF(MONTH(calls[[#This Row],[Date of Call]])&lt;=6,YEAR(calls[[#This Row],[Date of Call]]),YEAR(calls[[#This Row],[Date of Call]])+1)</f>
        <v>2023</v>
      </c>
      <c r="M377" t="str">
        <f>TEXT(calls[[#This Row],[Date of Call]],"DDDD")</f>
        <v>Monday</v>
      </c>
      <c r="N377" t="str" cm="1">
        <f t="array" ref="N37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77">
        <f>ROUND(calls[[#This Row],[Satisfaction Rating]],0)</f>
        <v>4</v>
      </c>
      <c r="P377" s="53">
        <f t="shared" si="5"/>
        <v>307</v>
      </c>
    </row>
    <row r="378" spans="2:16">
      <c r="B378" t="s">
        <v>458</v>
      </c>
      <c r="C378" t="s">
        <v>65</v>
      </c>
      <c r="D378" s="46" t="str" cm="1">
        <f t="array" ref="D378">_xlfn.XLOOKUP(C378,customers[Customer ID],customers[Gender],"")</f>
        <v>Female</v>
      </c>
      <c r="E378" s="46" cm="1">
        <f t="array" ref="E378">_xlfn.XLOOKUP(C378,customers[Customer ID],customers[Age],"")</f>
        <v>42</v>
      </c>
      <c r="F378" s="46" t="str" cm="1">
        <f t="array" ref="F378">_xlfn.XLOOKUP(C378,customers[Customer ID],customers[City],"")</f>
        <v>Cleveland</v>
      </c>
      <c r="G378">
        <v>165</v>
      </c>
      <c r="H378" s="47" t="s">
        <v>37</v>
      </c>
      <c r="I378" s="48">
        <v>45033</v>
      </c>
      <c r="J378">
        <v>68</v>
      </c>
      <c r="K378">
        <v>4.3</v>
      </c>
      <c r="L378">
        <f>IF(MONTH(calls[[#This Row],[Date of Call]])&lt;=6,YEAR(calls[[#This Row],[Date of Call]]),YEAR(calls[[#This Row],[Date of Call]])+1)</f>
        <v>2023</v>
      </c>
      <c r="M378" t="str">
        <f>TEXT(calls[[#This Row],[Date of Call]],"DDDD")</f>
        <v>Monday</v>
      </c>
      <c r="N378" t="str" cm="1">
        <f t="array" ref="N37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78">
        <f>ROUND(calls[[#This Row],[Satisfaction Rating]],0)</f>
        <v>4</v>
      </c>
      <c r="P378" s="53">
        <f t="shared" si="5"/>
        <v>307</v>
      </c>
    </row>
    <row r="379" spans="2:16">
      <c r="B379" t="s">
        <v>459</v>
      </c>
      <c r="C379" t="s">
        <v>68</v>
      </c>
      <c r="D379" s="46" t="str" cm="1">
        <f t="array" ref="D379">_xlfn.XLOOKUP(C379,customers[Customer ID],customers[Gender],"")</f>
        <v>Female</v>
      </c>
      <c r="E379" s="46" cm="1">
        <f t="array" ref="E379">_xlfn.XLOOKUP(C379,customers[Customer ID],customers[Age],"")</f>
        <v>43</v>
      </c>
      <c r="F379" s="46" t="str" cm="1">
        <f t="array" ref="F379">_xlfn.XLOOKUP(C379,customers[Customer ID],customers[City],"")</f>
        <v>Cleveland</v>
      </c>
      <c r="G379">
        <v>125</v>
      </c>
      <c r="H379" s="47" t="s">
        <v>37</v>
      </c>
      <c r="I379" s="48">
        <v>45033</v>
      </c>
      <c r="J379">
        <v>148</v>
      </c>
      <c r="K379">
        <v>4.5</v>
      </c>
      <c r="L379">
        <f>IF(MONTH(calls[[#This Row],[Date of Call]])&lt;=6,YEAR(calls[[#This Row],[Date of Call]]),YEAR(calls[[#This Row],[Date of Call]])+1)</f>
        <v>2023</v>
      </c>
      <c r="M379" t="str">
        <f>TEXT(calls[[#This Row],[Date of Call]],"DDDD")</f>
        <v>Monday</v>
      </c>
      <c r="N379" t="str" cm="1">
        <f t="array" ref="N37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79">
        <f>ROUND(calls[[#This Row],[Satisfaction Rating]],0)</f>
        <v>5</v>
      </c>
      <c r="P379" s="53">
        <f t="shared" si="5"/>
        <v>307</v>
      </c>
    </row>
    <row r="380" spans="2:16">
      <c r="B380" t="s">
        <v>460</v>
      </c>
      <c r="C380" t="s">
        <v>70</v>
      </c>
      <c r="D380" s="46" t="str" cm="1">
        <f t="array" ref="D380">_xlfn.XLOOKUP(C380,customers[Customer ID],customers[Gender],"")</f>
        <v>Male</v>
      </c>
      <c r="E380" s="46" cm="1">
        <f t="array" ref="E380">_xlfn.XLOOKUP(C380,customers[Customer ID],customers[Age],"")</f>
        <v>37</v>
      </c>
      <c r="F380" s="46" t="str" cm="1">
        <f t="array" ref="F380">_xlfn.XLOOKUP(C380,customers[Customer ID],customers[City],"")</f>
        <v>Columbus</v>
      </c>
      <c r="G380">
        <v>88</v>
      </c>
      <c r="H380" s="47" t="s">
        <v>40</v>
      </c>
      <c r="I380" s="48">
        <v>45034</v>
      </c>
      <c r="J380">
        <v>81</v>
      </c>
      <c r="K380">
        <v>4.2</v>
      </c>
      <c r="L380">
        <f>IF(MONTH(calls[[#This Row],[Date of Call]])&lt;=6,YEAR(calls[[#This Row],[Date of Call]]),YEAR(calls[[#This Row],[Date of Call]])+1)</f>
        <v>2023</v>
      </c>
      <c r="M380" t="str">
        <f>TEXT(calls[[#This Row],[Date of Call]],"DDDD")</f>
        <v>Tuesday</v>
      </c>
      <c r="N380" t="str" cm="1">
        <f t="array" ref="N3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80">
        <f>ROUND(calls[[#This Row],[Satisfaction Rating]],0)</f>
        <v>4</v>
      </c>
      <c r="P380" s="53">
        <f t="shared" si="5"/>
        <v>307</v>
      </c>
    </row>
    <row r="381" spans="2:16">
      <c r="B381" t="s">
        <v>461</v>
      </c>
      <c r="C381" t="s">
        <v>67</v>
      </c>
      <c r="D381" s="46" t="str" cm="1">
        <f t="array" ref="D381">_xlfn.XLOOKUP(C381,customers[Customer ID],customers[Gender],"")</f>
        <v>Female</v>
      </c>
      <c r="E381" s="46" cm="1">
        <f t="array" ref="E381">_xlfn.XLOOKUP(C381,customers[Customer ID],customers[Age],"")</f>
        <v>37</v>
      </c>
      <c r="F381" s="46" t="str" cm="1">
        <f t="array" ref="F381">_xlfn.XLOOKUP(C381,customers[Customer ID],customers[City],"")</f>
        <v>Cleveland</v>
      </c>
      <c r="G381">
        <v>6</v>
      </c>
      <c r="H381" s="47" t="s">
        <v>40</v>
      </c>
      <c r="I381" s="48">
        <v>45034</v>
      </c>
      <c r="J381">
        <v>75</v>
      </c>
      <c r="K381">
        <v>3.9</v>
      </c>
      <c r="L381">
        <f>IF(MONTH(calls[[#This Row],[Date of Call]])&lt;=6,YEAR(calls[[#This Row],[Date of Call]]),YEAR(calls[[#This Row],[Date of Call]])+1)</f>
        <v>2023</v>
      </c>
      <c r="M381" t="str">
        <f>TEXT(calls[[#This Row],[Date of Call]],"DDDD")</f>
        <v>Tuesday</v>
      </c>
      <c r="N381" t="str" cm="1">
        <f t="array" ref="N381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O381">
        <f>ROUND(calls[[#This Row],[Satisfaction Rating]],0)</f>
        <v>4</v>
      </c>
      <c r="P381" s="53">
        <f t="shared" si="5"/>
        <v>307</v>
      </c>
    </row>
    <row r="382" spans="2:16">
      <c r="B382" t="s">
        <v>462</v>
      </c>
      <c r="C382" t="s">
        <v>72</v>
      </c>
      <c r="D382" s="46" t="str" cm="1">
        <f t="array" ref="D382">_xlfn.XLOOKUP(C382,customers[Customer ID],customers[Gender],"")</f>
        <v>Female</v>
      </c>
      <c r="E382" s="46" cm="1">
        <f t="array" ref="E382">_xlfn.XLOOKUP(C382,customers[Customer ID],customers[Age],"")</f>
        <v>25</v>
      </c>
      <c r="F382" s="46" t="str" cm="1">
        <f t="array" ref="F382">_xlfn.XLOOKUP(C382,customers[Customer ID],customers[City],"")</f>
        <v>Columbus</v>
      </c>
      <c r="G382">
        <v>69</v>
      </c>
      <c r="H382" s="47" t="s">
        <v>36</v>
      </c>
      <c r="I382" s="48">
        <v>45035</v>
      </c>
      <c r="J382">
        <v>32</v>
      </c>
      <c r="K382">
        <v>3.6</v>
      </c>
      <c r="L382">
        <f>IF(MONTH(calls[[#This Row],[Date of Call]])&lt;=6,YEAR(calls[[#This Row],[Date of Call]]),YEAR(calls[[#This Row],[Date of Call]])+1)</f>
        <v>2023</v>
      </c>
      <c r="M382" t="str">
        <f>TEXT(calls[[#This Row],[Date of Call]],"DDDD")</f>
        <v>Wednesday</v>
      </c>
      <c r="N382" t="str" cm="1">
        <f t="array" ref="N3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82">
        <f>ROUND(calls[[#This Row],[Satisfaction Rating]],0)</f>
        <v>4</v>
      </c>
      <c r="P382" s="53">
        <f t="shared" si="5"/>
        <v>307</v>
      </c>
    </row>
    <row r="383" spans="2:16">
      <c r="B383" t="s">
        <v>463</v>
      </c>
      <c r="C383" t="s">
        <v>69</v>
      </c>
      <c r="D383" s="46" t="str" cm="1">
        <f t="array" ref="D383">_xlfn.XLOOKUP(C383,customers[Customer ID],customers[Gender],"")</f>
        <v>Male</v>
      </c>
      <c r="E383" s="46" cm="1">
        <f t="array" ref="E383">_xlfn.XLOOKUP(C383,customers[Customer ID],customers[Age],"")</f>
        <v>41</v>
      </c>
      <c r="F383" s="46" t="str" cm="1">
        <f t="array" ref="F383">_xlfn.XLOOKUP(C383,customers[Customer ID],customers[City],"")</f>
        <v>Columbus</v>
      </c>
      <c r="G383">
        <v>107</v>
      </c>
      <c r="H383" s="47" t="s">
        <v>36</v>
      </c>
      <c r="I383" s="48">
        <v>45035</v>
      </c>
      <c r="J383">
        <v>156</v>
      </c>
      <c r="K383">
        <v>3.8</v>
      </c>
      <c r="L383">
        <f>IF(MONTH(calls[[#This Row],[Date of Call]])&lt;=6,YEAR(calls[[#This Row],[Date of Call]]),YEAR(calls[[#This Row],[Date of Call]])+1)</f>
        <v>2023</v>
      </c>
      <c r="M383" t="str">
        <f>TEXT(calls[[#This Row],[Date of Call]],"DDDD")</f>
        <v>Wednesday</v>
      </c>
      <c r="N383" t="str" cm="1">
        <f t="array" ref="N3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83">
        <f>ROUND(calls[[#This Row],[Satisfaction Rating]],0)</f>
        <v>4</v>
      </c>
      <c r="P383" s="53">
        <f t="shared" si="5"/>
        <v>307</v>
      </c>
    </row>
    <row r="384" spans="2:16">
      <c r="B384" t="s">
        <v>464</v>
      </c>
      <c r="C384" t="s">
        <v>60</v>
      </c>
      <c r="D384" s="46" t="str" cm="1">
        <f t="array" ref="D384">_xlfn.XLOOKUP(C384,customers[Customer ID],customers[Gender],"")</f>
        <v>Male</v>
      </c>
      <c r="E384" s="46" cm="1">
        <f t="array" ref="E384">_xlfn.XLOOKUP(C384,customers[Customer ID],customers[Age],"")</f>
        <v>36</v>
      </c>
      <c r="F384" s="46" t="str" cm="1">
        <f t="array" ref="F384">_xlfn.XLOOKUP(C384,customers[Customer ID],customers[City],"")</f>
        <v>Cincinnati</v>
      </c>
      <c r="G384">
        <v>90</v>
      </c>
      <c r="H384" s="47" t="s">
        <v>37</v>
      </c>
      <c r="I384" s="48">
        <v>45035</v>
      </c>
      <c r="J384">
        <v>99</v>
      </c>
      <c r="K384">
        <v>4.9</v>
      </c>
      <c r="L384">
        <f>IF(MONTH(calls[[#This Row],[Date of Call]])&lt;=6,YEAR(calls[[#This Row],[Date of Call]]),YEAR(calls[[#This Row],[Date of Call]])+1)</f>
        <v>2023</v>
      </c>
      <c r="M384" t="str">
        <f>TEXT(calls[[#This Row],[Date of Call]],"DDDD")</f>
        <v>Wednesday</v>
      </c>
      <c r="N384" t="str" cm="1">
        <f t="array" ref="N3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84">
        <f>ROUND(calls[[#This Row],[Satisfaction Rating]],0)</f>
        <v>5</v>
      </c>
      <c r="P384" s="53">
        <f t="shared" si="5"/>
        <v>307</v>
      </c>
    </row>
    <row r="385" spans="2:16">
      <c r="B385" t="s">
        <v>465</v>
      </c>
      <c r="C385" t="s">
        <v>59</v>
      </c>
      <c r="D385" s="46" t="str" cm="1">
        <f t="array" ref="D385">_xlfn.XLOOKUP(C385,customers[Customer ID],customers[Gender],"")</f>
        <v>Male</v>
      </c>
      <c r="E385" s="46" cm="1">
        <f t="array" ref="E385">_xlfn.XLOOKUP(C385,customers[Customer ID],customers[Age],"")</f>
        <v>26</v>
      </c>
      <c r="F385" s="46" t="str" cm="1">
        <f t="array" ref="F385">_xlfn.XLOOKUP(C385,customers[Customer ID],customers[City],"")</f>
        <v>Cincinnati</v>
      </c>
      <c r="G385">
        <v>120</v>
      </c>
      <c r="H385" s="47" t="s">
        <v>38</v>
      </c>
      <c r="I385" s="48">
        <v>45035</v>
      </c>
      <c r="J385">
        <v>26</v>
      </c>
      <c r="K385">
        <v>4</v>
      </c>
      <c r="L385">
        <f>IF(MONTH(calls[[#This Row],[Date of Call]])&lt;=6,YEAR(calls[[#This Row],[Date of Call]]),YEAR(calls[[#This Row],[Date of Call]])+1)</f>
        <v>2023</v>
      </c>
      <c r="M385" t="str">
        <f>TEXT(calls[[#This Row],[Date of Call]],"DDDD")</f>
        <v>Wednesday</v>
      </c>
      <c r="N385" t="str" cm="1">
        <f t="array" ref="N3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85">
        <f>ROUND(calls[[#This Row],[Satisfaction Rating]],0)</f>
        <v>4</v>
      </c>
      <c r="P385" s="53">
        <f t="shared" si="5"/>
        <v>307</v>
      </c>
    </row>
    <row r="386" spans="2:16">
      <c r="B386" t="s">
        <v>466</v>
      </c>
      <c r="C386" t="s">
        <v>61</v>
      </c>
      <c r="D386" s="46" t="str" cm="1">
        <f t="array" ref="D386">_xlfn.XLOOKUP(C386,customers[Customer ID],customers[Gender],"")</f>
        <v>Female</v>
      </c>
      <c r="E386" s="46" cm="1">
        <f t="array" ref="E386">_xlfn.XLOOKUP(C386,customers[Customer ID],customers[Age],"")</f>
        <v>30</v>
      </c>
      <c r="F386" s="46" t="str" cm="1">
        <f t="array" ref="F386">_xlfn.XLOOKUP(C386,customers[Customer ID],customers[City],"")</f>
        <v>Cincinnati</v>
      </c>
      <c r="G386">
        <v>47</v>
      </c>
      <c r="H386" s="47" t="s">
        <v>36</v>
      </c>
      <c r="I386" s="48">
        <v>45035</v>
      </c>
      <c r="J386">
        <v>84</v>
      </c>
      <c r="K386">
        <v>4.1</v>
      </c>
      <c r="L386">
        <f>IF(MONTH(calls[[#This Row],[Date of Call]])&lt;=6,YEAR(calls[[#This Row],[Date of Call]]),YEAR(calls[[#This Row],[Date of Call]])+1)</f>
        <v>2023</v>
      </c>
      <c r="M386" t="str">
        <f>TEXT(calls[[#This Row],[Date of Call]],"DDDD")</f>
        <v>Wednesday</v>
      </c>
      <c r="N386" t="str" cm="1">
        <f t="array" ref="N38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86">
        <f>ROUND(calls[[#This Row],[Satisfaction Rating]],0)</f>
        <v>4</v>
      </c>
      <c r="P386" s="53">
        <f t="shared" si="5"/>
        <v>307</v>
      </c>
    </row>
    <row r="387" spans="2:16">
      <c r="B387" t="s">
        <v>467</v>
      </c>
      <c r="C387" t="s">
        <v>73</v>
      </c>
      <c r="D387" s="46" t="str" cm="1">
        <f t="array" ref="D387">_xlfn.XLOOKUP(C387,customers[Customer ID],customers[Gender],"")</f>
        <v>Female</v>
      </c>
      <c r="E387" s="46" cm="1">
        <f t="array" ref="E387">_xlfn.XLOOKUP(C387,customers[Customer ID],customers[Age],"")</f>
        <v>38</v>
      </c>
      <c r="F387" s="46" t="str" cm="1">
        <f t="array" ref="F387">_xlfn.XLOOKUP(C387,customers[Customer ID],customers[City],"")</f>
        <v>Columbus</v>
      </c>
      <c r="G387">
        <v>60</v>
      </c>
      <c r="H387" s="47" t="s">
        <v>38</v>
      </c>
      <c r="I387" s="48">
        <v>45035</v>
      </c>
      <c r="J387">
        <v>84</v>
      </c>
      <c r="K387">
        <v>4.8</v>
      </c>
      <c r="L387">
        <f>IF(MONTH(calls[[#This Row],[Date of Call]])&lt;=6,YEAR(calls[[#This Row],[Date of Call]]),YEAR(calls[[#This Row],[Date of Call]])+1)</f>
        <v>2023</v>
      </c>
      <c r="M387" t="str">
        <f>TEXT(calls[[#This Row],[Date of Call]],"DDDD")</f>
        <v>Wednesday</v>
      </c>
      <c r="N387" t="str" cm="1">
        <f t="array" ref="N38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87">
        <f>ROUND(calls[[#This Row],[Satisfaction Rating]],0)</f>
        <v>5</v>
      </c>
      <c r="P387" s="53">
        <f t="shared" si="5"/>
        <v>307</v>
      </c>
    </row>
    <row r="388" spans="2:16">
      <c r="B388" t="s">
        <v>468</v>
      </c>
      <c r="C388" t="s">
        <v>71</v>
      </c>
      <c r="D388" s="46" t="str" cm="1">
        <f t="array" ref="D388">_xlfn.XLOOKUP(C388,customers[Customer ID],customers[Gender],"")</f>
        <v>Male</v>
      </c>
      <c r="E388" s="46" cm="1">
        <f t="array" ref="E388">_xlfn.XLOOKUP(C388,customers[Customer ID],customers[Age],"")</f>
        <v>23</v>
      </c>
      <c r="F388" s="46" t="str" cm="1">
        <f t="array" ref="F388">_xlfn.XLOOKUP(C388,customers[Customer ID],customers[City],"")</f>
        <v>Columbus</v>
      </c>
      <c r="G388">
        <v>64</v>
      </c>
      <c r="H388" s="47" t="s">
        <v>37</v>
      </c>
      <c r="I388" s="48">
        <v>45035</v>
      </c>
      <c r="J388">
        <v>170</v>
      </c>
      <c r="K388">
        <v>2.3</v>
      </c>
      <c r="L388">
        <f>IF(MONTH(calls[[#This Row],[Date of Call]])&lt;=6,YEAR(calls[[#This Row],[Date of Call]]),YEAR(calls[[#This Row],[Date of Call]])+1)</f>
        <v>2023</v>
      </c>
      <c r="M388" t="str">
        <f>TEXT(calls[[#This Row],[Date of Call]],"DDDD")</f>
        <v>Wednesday</v>
      </c>
      <c r="N388" t="str" cm="1">
        <f t="array" ref="N38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88">
        <f>ROUND(calls[[#This Row],[Satisfaction Rating]],0)</f>
        <v>2</v>
      </c>
      <c r="P388" s="53">
        <f t="shared" ref="P388:P451" si="6">COUNTIF(O:O,5)</f>
        <v>307</v>
      </c>
    </row>
    <row r="389" spans="2:16">
      <c r="B389" t="s">
        <v>469</v>
      </c>
      <c r="C389" t="s">
        <v>65</v>
      </c>
      <c r="D389" s="46" t="str" cm="1">
        <f t="array" ref="D389">_xlfn.XLOOKUP(C389,customers[Customer ID],customers[Gender],"")</f>
        <v>Female</v>
      </c>
      <c r="E389" s="46" cm="1">
        <f t="array" ref="E389">_xlfn.XLOOKUP(C389,customers[Customer ID],customers[Age],"")</f>
        <v>42</v>
      </c>
      <c r="F389" s="46" t="str" cm="1">
        <f t="array" ref="F389">_xlfn.XLOOKUP(C389,customers[Customer ID],customers[City],"")</f>
        <v>Cleveland</v>
      </c>
      <c r="G389">
        <v>62</v>
      </c>
      <c r="H389" s="47" t="s">
        <v>36</v>
      </c>
      <c r="I389" s="48">
        <v>45035</v>
      </c>
      <c r="J389">
        <v>35</v>
      </c>
      <c r="K389">
        <v>4.4</v>
      </c>
      <c r="L389">
        <f>IF(MONTH(calls[[#This Row],[Date of Call]])&lt;=6,YEAR(calls[[#This Row],[Date of Call]]),YEAR(calls[[#This Row],[Date of Call]])+1)</f>
        <v>2023</v>
      </c>
      <c r="M389" t="str">
        <f>TEXT(calls[[#This Row],[Date of Call]],"DDDD")</f>
        <v>Wednesday</v>
      </c>
      <c r="N389" t="str" cm="1">
        <f t="array" ref="N3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89">
        <f>ROUND(calls[[#This Row],[Satisfaction Rating]],0)</f>
        <v>4</v>
      </c>
      <c r="P389" s="53">
        <f t="shared" si="6"/>
        <v>307</v>
      </c>
    </row>
    <row r="390" spans="2:16">
      <c r="B390" t="s">
        <v>470</v>
      </c>
      <c r="C390" t="s">
        <v>66</v>
      </c>
      <c r="D390" s="46" t="str" cm="1">
        <f t="array" ref="D390">_xlfn.XLOOKUP(C390,customers[Customer ID],customers[Gender],"")</f>
        <v>Female</v>
      </c>
      <c r="E390" s="46" cm="1">
        <f t="array" ref="E390">_xlfn.XLOOKUP(C390,customers[Customer ID],customers[Age],"")</f>
        <v>30</v>
      </c>
      <c r="F390" s="46" t="str" cm="1">
        <f t="array" ref="F390">_xlfn.XLOOKUP(C390,customers[Customer ID],customers[City],"")</f>
        <v>Cleveland</v>
      </c>
      <c r="G390">
        <v>88</v>
      </c>
      <c r="H390" s="47" t="s">
        <v>36</v>
      </c>
      <c r="I390" s="48">
        <v>45036</v>
      </c>
      <c r="J390">
        <v>35</v>
      </c>
      <c r="K390">
        <v>3.8</v>
      </c>
      <c r="L390">
        <f>IF(MONTH(calls[[#This Row],[Date of Call]])&lt;=6,YEAR(calls[[#This Row],[Date of Call]]),YEAR(calls[[#This Row],[Date of Call]])+1)</f>
        <v>2023</v>
      </c>
      <c r="M390" t="str">
        <f>TEXT(calls[[#This Row],[Date of Call]],"DDDD")</f>
        <v>Thursday</v>
      </c>
      <c r="N390" t="str" cm="1">
        <f t="array" ref="N3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90">
        <f>ROUND(calls[[#This Row],[Satisfaction Rating]],0)</f>
        <v>4</v>
      </c>
      <c r="P390" s="53">
        <f t="shared" si="6"/>
        <v>307</v>
      </c>
    </row>
    <row r="391" spans="2:16">
      <c r="B391" t="s">
        <v>471</v>
      </c>
      <c r="C391" t="s">
        <v>68</v>
      </c>
      <c r="D391" s="46" t="str" cm="1">
        <f t="array" ref="D391">_xlfn.XLOOKUP(C391,customers[Customer ID],customers[Gender],"")</f>
        <v>Female</v>
      </c>
      <c r="E391" s="46" cm="1">
        <f t="array" ref="E391">_xlfn.XLOOKUP(C391,customers[Customer ID],customers[Age],"")</f>
        <v>43</v>
      </c>
      <c r="F391" s="46" t="str" cm="1">
        <f t="array" ref="F391">_xlfn.XLOOKUP(C391,customers[Customer ID],customers[City],"")</f>
        <v>Cleveland</v>
      </c>
      <c r="G391">
        <v>116</v>
      </c>
      <c r="H391" s="47" t="s">
        <v>36</v>
      </c>
      <c r="I391" s="48">
        <v>45036</v>
      </c>
      <c r="J391">
        <v>132</v>
      </c>
      <c r="K391">
        <v>5</v>
      </c>
      <c r="L391">
        <f>IF(MONTH(calls[[#This Row],[Date of Call]])&lt;=6,YEAR(calls[[#This Row],[Date of Call]]),YEAR(calls[[#This Row],[Date of Call]])+1)</f>
        <v>2023</v>
      </c>
      <c r="M391" t="str">
        <f>TEXT(calls[[#This Row],[Date of Call]],"DDDD")</f>
        <v>Thursday</v>
      </c>
      <c r="N391" t="str" cm="1">
        <f t="array" ref="N3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91">
        <f>ROUND(calls[[#This Row],[Satisfaction Rating]],0)</f>
        <v>5</v>
      </c>
      <c r="P391" s="53">
        <f t="shared" si="6"/>
        <v>307</v>
      </c>
    </row>
    <row r="392" spans="2:16">
      <c r="B392" t="s">
        <v>472</v>
      </c>
      <c r="C392" t="s">
        <v>60</v>
      </c>
      <c r="D392" s="46" t="str" cm="1">
        <f t="array" ref="D392">_xlfn.XLOOKUP(C392,customers[Customer ID],customers[Gender],"")</f>
        <v>Male</v>
      </c>
      <c r="E392" s="46" cm="1">
        <f t="array" ref="E392">_xlfn.XLOOKUP(C392,customers[Customer ID],customers[Age],"")</f>
        <v>36</v>
      </c>
      <c r="F392" s="46" t="str" cm="1">
        <f t="array" ref="F392">_xlfn.XLOOKUP(C392,customers[Customer ID],customers[City],"")</f>
        <v>Cincinnati</v>
      </c>
      <c r="G392">
        <v>82</v>
      </c>
      <c r="H392" s="47" t="s">
        <v>40</v>
      </c>
      <c r="I392" s="48">
        <v>45037</v>
      </c>
      <c r="J392">
        <v>144</v>
      </c>
      <c r="K392">
        <v>3.3</v>
      </c>
      <c r="L392">
        <f>IF(MONTH(calls[[#This Row],[Date of Call]])&lt;=6,YEAR(calls[[#This Row],[Date of Call]]),YEAR(calls[[#This Row],[Date of Call]])+1)</f>
        <v>2023</v>
      </c>
      <c r="M392" t="str">
        <f>TEXT(calls[[#This Row],[Date of Call]],"DDDD")</f>
        <v>Friday</v>
      </c>
      <c r="N392" t="str" cm="1">
        <f t="array" ref="N39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92">
        <f>ROUND(calls[[#This Row],[Satisfaction Rating]],0)</f>
        <v>3</v>
      </c>
      <c r="P392" s="53">
        <f t="shared" si="6"/>
        <v>307</v>
      </c>
    </row>
    <row r="393" spans="2:16">
      <c r="B393" t="s">
        <v>473</v>
      </c>
      <c r="C393" t="s">
        <v>65</v>
      </c>
      <c r="D393" s="46" t="str" cm="1">
        <f t="array" ref="D393">_xlfn.XLOOKUP(C393,customers[Customer ID],customers[Gender],"")</f>
        <v>Female</v>
      </c>
      <c r="E393" s="46" cm="1">
        <f t="array" ref="E393">_xlfn.XLOOKUP(C393,customers[Customer ID],customers[Age],"")</f>
        <v>42</v>
      </c>
      <c r="F393" s="46" t="str" cm="1">
        <f t="array" ref="F393">_xlfn.XLOOKUP(C393,customers[Customer ID],customers[City],"")</f>
        <v>Cleveland</v>
      </c>
      <c r="G393">
        <v>99</v>
      </c>
      <c r="H393" s="47" t="s">
        <v>37</v>
      </c>
      <c r="I393" s="48">
        <v>45037</v>
      </c>
      <c r="J393">
        <v>48</v>
      </c>
      <c r="K393">
        <v>5</v>
      </c>
      <c r="L393">
        <f>IF(MONTH(calls[[#This Row],[Date of Call]])&lt;=6,YEAR(calls[[#This Row],[Date of Call]]),YEAR(calls[[#This Row],[Date of Call]])+1)</f>
        <v>2023</v>
      </c>
      <c r="M393" t="str">
        <f>TEXT(calls[[#This Row],[Date of Call]],"DDDD")</f>
        <v>Friday</v>
      </c>
      <c r="N393" t="str" cm="1">
        <f t="array" ref="N3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93">
        <f>ROUND(calls[[#This Row],[Satisfaction Rating]],0)</f>
        <v>5</v>
      </c>
      <c r="P393" s="53">
        <f t="shared" si="6"/>
        <v>307</v>
      </c>
    </row>
    <row r="394" spans="2:16">
      <c r="B394" t="s">
        <v>474</v>
      </c>
      <c r="C394" t="s">
        <v>65</v>
      </c>
      <c r="D394" s="46" t="str" cm="1">
        <f t="array" ref="D394">_xlfn.XLOOKUP(C394,customers[Customer ID],customers[Gender],"")</f>
        <v>Female</v>
      </c>
      <c r="E394" s="46" cm="1">
        <f t="array" ref="E394">_xlfn.XLOOKUP(C394,customers[Customer ID],customers[Age],"")</f>
        <v>42</v>
      </c>
      <c r="F394" s="46" t="str" cm="1">
        <f t="array" ref="F394">_xlfn.XLOOKUP(C394,customers[Customer ID],customers[City],"")</f>
        <v>Cleveland</v>
      </c>
      <c r="G394">
        <v>55</v>
      </c>
      <c r="H394" s="47" t="s">
        <v>40</v>
      </c>
      <c r="I394" s="48">
        <v>45037</v>
      </c>
      <c r="J394">
        <v>200</v>
      </c>
      <c r="K394">
        <v>2.3</v>
      </c>
      <c r="L394">
        <f>IF(MONTH(calls[[#This Row],[Date of Call]])&lt;=6,YEAR(calls[[#This Row],[Date of Call]]),YEAR(calls[[#This Row],[Date of Call]])+1)</f>
        <v>2023</v>
      </c>
      <c r="M394" t="str">
        <f>TEXT(calls[[#This Row],[Date of Call]],"DDDD")</f>
        <v>Friday</v>
      </c>
      <c r="N394" t="str" cm="1">
        <f t="array" ref="N39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94">
        <f>ROUND(calls[[#This Row],[Satisfaction Rating]],0)</f>
        <v>2</v>
      </c>
      <c r="P394" s="53">
        <f t="shared" si="6"/>
        <v>307</v>
      </c>
    </row>
    <row r="395" spans="2:16">
      <c r="B395" t="s">
        <v>475</v>
      </c>
      <c r="C395" t="s">
        <v>71</v>
      </c>
      <c r="D395" s="46" t="str" cm="1">
        <f t="array" ref="D395">_xlfn.XLOOKUP(C395,customers[Customer ID],customers[Gender],"")</f>
        <v>Male</v>
      </c>
      <c r="E395" s="46" cm="1">
        <f t="array" ref="E395">_xlfn.XLOOKUP(C395,customers[Customer ID],customers[Age],"")</f>
        <v>23</v>
      </c>
      <c r="F395" s="46" t="str" cm="1">
        <f t="array" ref="F395">_xlfn.XLOOKUP(C395,customers[Customer ID],customers[City],"")</f>
        <v>Columbus</v>
      </c>
      <c r="G395">
        <v>61</v>
      </c>
      <c r="H395" s="47" t="s">
        <v>38</v>
      </c>
      <c r="I395" s="48">
        <v>45037</v>
      </c>
      <c r="J395">
        <v>38</v>
      </c>
      <c r="K395">
        <v>4.8</v>
      </c>
      <c r="L395">
        <f>IF(MONTH(calls[[#This Row],[Date of Call]])&lt;=6,YEAR(calls[[#This Row],[Date of Call]]),YEAR(calls[[#This Row],[Date of Call]])+1)</f>
        <v>2023</v>
      </c>
      <c r="M395" t="str">
        <f>TEXT(calls[[#This Row],[Date of Call]],"DDDD")</f>
        <v>Friday</v>
      </c>
      <c r="N395" t="str" cm="1">
        <f t="array" ref="N39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395">
        <f>ROUND(calls[[#This Row],[Satisfaction Rating]],0)</f>
        <v>5</v>
      </c>
      <c r="P395" s="53">
        <f t="shared" si="6"/>
        <v>307</v>
      </c>
    </row>
    <row r="396" spans="2:16">
      <c r="B396" t="s">
        <v>476</v>
      </c>
      <c r="C396" t="s">
        <v>68</v>
      </c>
      <c r="D396" s="46" t="str" cm="1">
        <f t="array" ref="D396">_xlfn.XLOOKUP(C396,customers[Customer ID],customers[Gender],"")</f>
        <v>Female</v>
      </c>
      <c r="E396" s="46" cm="1">
        <f t="array" ref="E396">_xlfn.XLOOKUP(C396,customers[Customer ID],customers[Age],"")</f>
        <v>43</v>
      </c>
      <c r="F396" s="46" t="str" cm="1">
        <f t="array" ref="F396">_xlfn.XLOOKUP(C396,customers[Customer ID],customers[City],"")</f>
        <v>Cleveland</v>
      </c>
      <c r="G396">
        <v>36</v>
      </c>
      <c r="H396" s="47" t="s">
        <v>39</v>
      </c>
      <c r="I396" s="48">
        <v>45037</v>
      </c>
      <c r="J396">
        <v>81</v>
      </c>
      <c r="K396">
        <v>3.7</v>
      </c>
      <c r="L396">
        <f>IF(MONTH(calls[[#This Row],[Date of Call]])&lt;=6,YEAR(calls[[#This Row],[Date of Call]]),YEAR(calls[[#This Row],[Date of Call]])+1)</f>
        <v>2023</v>
      </c>
      <c r="M396" t="str">
        <f>TEXT(calls[[#This Row],[Date of Call]],"DDDD")</f>
        <v>Friday</v>
      </c>
      <c r="N396" t="str" cm="1">
        <f t="array" ref="N39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96">
        <f>ROUND(calls[[#This Row],[Satisfaction Rating]],0)</f>
        <v>4</v>
      </c>
      <c r="P396" s="53">
        <f t="shared" si="6"/>
        <v>307</v>
      </c>
    </row>
    <row r="397" spans="2:16">
      <c r="B397" t="s">
        <v>477</v>
      </c>
      <c r="C397" t="s">
        <v>60</v>
      </c>
      <c r="D397" s="46" t="str" cm="1">
        <f t="array" ref="D397">_xlfn.XLOOKUP(C397,customers[Customer ID],customers[Gender],"")</f>
        <v>Male</v>
      </c>
      <c r="E397" s="46" cm="1">
        <f t="array" ref="E397">_xlfn.XLOOKUP(C397,customers[Customer ID],customers[Age],"")</f>
        <v>36</v>
      </c>
      <c r="F397" s="46" t="str" cm="1">
        <f t="array" ref="F397">_xlfn.XLOOKUP(C397,customers[Customer ID],customers[City],"")</f>
        <v>Cincinnati</v>
      </c>
      <c r="G397">
        <v>123</v>
      </c>
      <c r="H397" s="47" t="s">
        <v>36</v>
      </c>
      <c r="I397" s="48">
        <v>45037</v>
      </c>
      <c r="J397">
        <v>120</v>
      </c>
      <c r="K397">
        <v>4.2</v>
      </c>
      <c r="L397">
        <f>IF(MONTH(calls[[#This Row],[Date of Call]])&lt;=6,YEAR(calls[[#This Row],[Date of Call]]),YEAR(calls[[#This Row],[Date of Call]])+1)</f>
        <v>2023</v>
      </c>
      <c r="M397" t="str">
        <f>TEXT(calls[[#This Row],[Date of Call]],"DDDD")</f>
        <v>Friday</v>
      </c>
      <c r="N397" t="str" cm="1">
        <f t="array" ref="N39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397">
        <f>ROUND(calls[[#This Row],[Satisfaction Rating]],0)</f>
        <v>4</v>
      </c>
      <c r="P397" s="53">
        <f t="shared" si="6"/>
        <v>307</v>
      </c>
    </row>
    <row r="398" spans="2:16">
      <c r="B398" t="s">
        <v>478</v>
      </c>
      <c r="C398" t="s">
        <v>63</v>
      </c>
      <c r="D398" s="46" t="str" cm="1">
        <f t="array" ref="D398">_xlfn.XLOOKUP(C398,customers[Customer ID],customers[Gender],"")</f>
        <v>Male</v>
      </c>
      <c r="E398" s="46" cm="1">
        <f t="array" ref="E398">_xlfn.XLOOKUP(C398,customers[Customer ID],customers[Age],"")</f>
        <v>31</v>
      </c>
      <c r="F398" s="46" t="str" cm="1">
        <f t="array" ref="F398">_xlfn.XLOOKUP(C398,customers[Customer ID],customers[City],"")</f>
        <v>Cleveland</v>
      </c>
      <c r="G398">
        <v>24</v>
      </c>
      <c r="H398" s="47" t="s">
        <v>38</v>
      </c>
      <c r="I398" s="48">
        <v>45037</v>
      </c>
      <c r="J398">
        <v>74</v>
      </c>
      <c r="K398">
        <v>4.8</v>
      </c>
      <c r="L398">
        <f>IF(MONTH(calls[[#This Row],[Date of Call]])&lt;=6,YEAR(calls[[#This Row],[Date of Call]]),YEAR(calls[[#This Row],[Date of Call]])+1)</f>
        <v>2023</v>
      </c>
      <c r="M398" t="str">
        <f>TEXT(calls[[#This Row],[Date of Call]],"DDDD")</f>
        <v>Friday</v>
      </c>
      <c r="N398" t="str" cm="1">
        <f t="array" ref="N398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398">
        <f>ROUND(calls[[#This Row],[Satisfaction Rating]],0)</f>
        <v>5</v>
      </c>
      <c r="P398" s="53">
        <f t="shared" si="6"/>
        <v>307</v>
      </c>
    </row>
    <row r="399" spans="2:16">
      <c r="B399" t="s">
        <v>479</v>
      </c>
      <c r="C399" t="s">
        <v>60</v>
      </c>
      <c r="D399" s="46" t="str" cm="1">
        <f t="array" ref="D399">_xlfn.XLOOKUP(C399,customers[Customer ID],customers[Gender],"")</f>
        <v>Male</v>
      </c>
      <c r="E399" s="46" cm="1">
        <f t="array" ref="E399">_xlfn.XLOOKUP(C399,customers[Customer ID],customers[Age],"")</f>
        <v>36</v>
      </c>
      <c r="F399" s="46" t="str" cm="1">
        <f t="array" ref="F399">_xlfn.XLOOKUP(C399,customers[Customer ID],customers[City],"")</f>
        <v>Cincinnati</v>
      </c>
      <c r="G399">
        <v>43</v>
      </c>
      <c r="H399" s="47" t="s">
        <v>36</v>
      </c>
      <c r="I399" s="48">
        <v>45038</v>
      </c>
      <c r="J399">
        <v>128</v>
      </c>
      <c r="K399">
        <v>4.7</v>
      </c>
      <c r="L399">
        <f>IF(MONTH(calls[[#This Row],[Date of Call]])&lt;=6,YEAR(calls[[#This Row],[Date of Call]]),YEAR(calls[[#This Row],[Date of Call]])+1)</f>
        <v>2023</v>
      </c>
      <c r="M399" t="str">
        <f>TEXT(calls[[#This Row],[Date of Call]],"DDDD")</f>
        <v>Saturday</v>
      </c>
      <c r="N399" t="str" cm="1">
        <f t="array" ref="N39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399">
        <f>ROUND(calls[[#This Row],[Satisfaction Rating]],0)</f>
        <v>5</v>
      </c>
      <c r="P399" s="53">
        <f t="shared" si="6"/>
        <v>307</v>
      </c>
    </row>
    <row r="400" spans="2:16">
      <c r="B400" t="s">
        <v>480</v>
      </c>
      <c r="C400" t="s">
        <v>73</v>
      </c>
      <c r="D400" s="46" t="str" cm="1">
        <f t="array" ref="D400">_xlfn.XLOOKUP(C400,customers[Customer ID],customers[Gender],"")</f>
        <v>Female</v>
      </c>
      <c r="E400" s="46" cm="1">
        <f t="array" ref="E400">_xlfn.XLOOKUP(C400,customers[Customer ID],customers[Age],"")</f>
        <v>38</v>
      </c>
      <c r="F400" s="46" t="str" cm="1">
        <f t="array" ref="F400">_xlfn.XLOOKUP(C400,customers[Customer ID],customers[City],"")</f>
        <v>Columbus</v>
      </c>
      <c r="G400">
        <v>95</v>
      </c>
      <c r="H400" s="47" t="s">
        <v>37</v>
      </c>
      <c r="I400" s="48">
        <v>45038</v>
      </c>
      <c r="J400">
        <v>21</v>
      </c>
      <c r="K400">
        <v>3.9</v>
      </c>
      <c r="L400">
        <f>IF(MONTH(calls[[#This Row],[Date of Call]])&lt;=6,YEAR(calls[[#This Row],[Date of Call]]),YEAR(calls[[#This Row],[Date of Call]])+1)</f>
        <v>2023</v>
      </c>
      <c r="M400" t="str">
        <f>TEXT(calls[[#This Row],[Date of Call]],"DDDD")</f>
        <v>Saturday</v>
      </c>
      <c r="N400" t="str" cm="1">
        <f t="array" ref="N4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00">
        <f>ROUND(calls[[#This Row],[Satisfaction Rating]],0)</f>
        <v>4</v>
      </c>
      <c r="P400" s="53">
        <f t="shared" si="6"/>
        <v>307</v>
      </c>
    </row>
    <row r="401" spans="2:16">
      <c r="B401" t="s">
        <v>481</v>
      </c>
      <c r="C401" t="s">
        <v>65</v>
      </c>
      <c r="D401" s="46" t="str" cm="1">
        <f t="array" ref="D401">_xlfn.XLOOKUP(C401,customers[Customer ID],customers[Gender],"")</f>
        <v>Female</v>
      </c>
      <c r="E401" s="46" cm="1">
        <f t="array" ref="E401">_xlfn.XLOOKUP(C401,customers[Customer ID],customers[Age],"")</f>
        <v>42</v>
      </c>
      <c r="F401" s="46" t="str" cm="1">
        <f t="array" ref="F401">_xlfn.XLOOKUP(C401,customers[Customer ID],customers[City],"")</f>
        <v>Cleveland</v>
      </c>
      <c r="G401">
        <v>53</v>
      </c>
      <c r="H401" s="47" t="s">
        <v>36</v>
      </c>
      <c r="I401" s="48">
        <v>45038</v>
      </c>
      <c r="J401">
        <v>110</v>
      </c>
      <c r="K401">
        <v>4.3</v>
      </c>
      <c r="L401">
        <f>IF(MONTH(calls[[#This Row],[Date of Call]])&lt;=6,YEAR(calls[[#This Row],[Date of Call]]),YEAR(calls[[#This Row],[Date of Call]])+1)</f>
        <v>2023</v>
      </c>
      <c r="M401" t="str">
        <f>TEXT(calls[[#This Row],[Date of Call]],"DDDD")</f>
        <v>Saturday</v>
      </c>
      <c r="N401" t="str" cm="1">
        <f t="array" ref="N40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01">
        <f>ROUND(calls[[#This Row],[Satisfaction Rating]],0)</f>
        <v>4</v>
      </c>
      <c r="P401" s="53">
        <f t="shared" si="6"/>
        <v>307</v>
      </c>
    </row>
    <row r="402" spans="2:16">
      <c r="B402" t="s">
        <v>482</v>
      </c>
      <c r="C402" t="s">
        <v>60</v>
      </c>
      <c r="D402" s="46" t="str" cm="1">
        <f t="array" ref="D402">_xlfn.XLOOKUP(C402,customers[Customer ID],customers[Gender],"")</f>
        <v>Male</v>
      </c>
      <c r="E402" s="46" cm="1">
        <f t="array" ref="E402">_xlfn.XLOOKUP(C402,customers[Customer ID],customers[Age],"")</f>
        <v>36</v>
      </c>
      <c r="F402" s="46" t="str" cm="1">
        <f t="array" ref="F402">_xlfn.XLOOKUP(C402,customers[Customer ID],customers[City],"")</f>
        <v>Cincinnati</v>
      </c>
      <c r="G402">
        <v>113</v>
      </c>
      <c r="H402" s="47" t="s">
        <v>36</v>
      </c>
      <c r="I402" s="48">
        <v>45038</v>
      </c>
      <c r="J402">
        <v>145</v>
      </c>
      <c r="K402">
        <v>4</v>
      </c>
      <c r="L402">
        <f>IF(MONTH(calls[[#This Row],[Date of Call]])&lt;=6,YEAR(calls[[#This Row],[Date of Call]]),YEAR(calls[[#This Row],[Date of Call]])+1)</f>
        <v>2023</v>
      </c>
      <c r="M402" t="str">
        <f>TEXT(calls[[#This Row],[Date of Call]],"DDDD")</f>
        <v>Saturday</v>
      </c>
      <c r="N402" t="str" cm="1">
        <f t="array" ref="N4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02">
        <f>ROUND(calls[[#This Row],[Satisfaction Rating]],0)</f>
        <v>4</v>
      </c>
      <c r="P402" s="53">
        <f t="shared" si="6"/>
        <v>307</v>
      </c>
    </row>
    <row r="403" spans="2:16">
      <c r="B403" t="s">
        <v>483</v>
      </c>
      <c r="C403" t="s">
        <v>65</v>
      </c>
      <c r="D403" s="46" t="str" cm="1">
        <f t="array" ref="D403">_xlfn.XLOOKUP(C403,customers[Customer ID],customers[Gender],"")</f>
        <v>Female</v>
      </c>
      <c r="E403" s="46" cm="1">
        <f t="array" ref="E403">_xlfn.XLOOKUP(C403,customers[Customer ID],customers[Age],"")</f>
        <v>42</v>
      </c>
      <c r="F403" s="46" t="str" cm="1">
        <f t="array" ref="F403">_xlfn.XLOOKUP(C403,customers[Customer ID],customers[City],"")</f>
        <v>Cleveland</v>
      </c>
      <c r="G403">
        <v>89</v>
      </c>
      <c r="H403" s="47" t="s">
        <v>39</v>
      </c>
      <c r="I403" s="48">
        <v>45038</v>
      </c>
      <c r="J403">
        <v>129</v>
      </c>
      <c r="K403">
        <v>4</v>
      </c>
      <c r="L403">
        <f>IF(MONTH(calls[[#This Row],[Date of Call]])&lt;=6,YEAR(calls[[#This Row],[Date of Call]]),YEAR(calls[[#This Row],[Date of Call]])+1)</f>
        <v>2023</v>
      </c>
      <c r="M403" t="str">
        <f>TEXT(calls[[#This Row],[Date of Call]],"DDDD")</f>
        <v>Saturday</v>
      </c>
      <c r="N403" t="str" cm="1">
        <f t="array" ref="N4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03">
        <f>ROUND(calls[[#This Row],[Satisfaction Rating]],0)</f>
        <v>4</v>
      </c>
      <c r="P403" s="53">
        <f t="shared" si="6"/>
        <v>307</v>
      </c>
    </row>
    <row r="404" spans="2:16">
      <c r="B404" t="s">
        <v>484</v>
      </c>
      <c r="C404" t="s">
        <v>66</v>
      </c>
      <c r="D404" s="46" t="str" cm="1">
        <f t="array" ref="D404">_xlfn.XLOOKUP(C404,customers[Customer ID],customers[Gender],"")</f>
        <v>Female</v>
      </c>
      <c r="E404" s="46" cm="1">
        <f t="array" ref="E404">_xlfn.XLOOKUP(C404,customers[Customer ID],customers[Age],"")</f>
        <v>30</v>
      </c>
      <c r="F404" s="46" t="str" cm="1">
        <f t="array" ref="F404">_xlfn.XLOOKUP(C404,customers[Customer ID],customers[City],"")</f>
        <v>Cleveland</v>
      </c>
      <c r="G404">
        <v>84</v>
      </c>
      <c r="H404" s="47" t="s">
        <v>40</v>
      </c>
      <c r="I404" s="48">
        <v>45038</v>
      </c>
      <c r="J404">
        <v>156</v>
      </c>
      <c r="K404">
        <v>3.2</v>
      </c>
      <c r="L404">
        <f>IF(MONTH(calls[[#This Row],[Date of Call]])&lt;=6,YEAR(calls[[#This Row],[Date of Call]]),YEAR(calls[[#This Row],[Date of Call]])+1)</f>
        <v>2023</v>
      </c>
      <c r="M404" t="str">
        <f>TEXT(calls[[#This Row],[Date of Call]],"DDDD")</f>
        <v>Saturday</v>
      </c>
      <c r="N404" t="str" cm="1">
        <f t="array" ref="N40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04">
        <f>ROUND(calls[[#This Row],[Satisfaction Rating]],0)</f>
        <v>3</v>
      </c>
      <c r="P404" s="53">
        <f t="shared" si="6"/>
        <v>307</v>
      </c>
    </row>
    <row r="405" spans="2:16">
      <c r="B405" t="s">
        <v>485</v>
      </c>
      <c r="C405" t="s">
        <v>63</v>
      </c>
      <c r="D405" s="46" t="str" cm="1">
        <f t="array" ref="D405">_xlfn.XLOOKUP(C405,customers[Customer ID],customers[Gender],"")</f>
        <v>Male</v>
      </c>
      <c r="E405" s="46" cm="1">
        <f t="array" ref="E405">_xlfn.XLOOKUP(C405,customers[Customer ID],customers[Age],"")</f>
        <v>31</v>
      </c>
      <c r="F405" s="46" t="str" cm="1">
        <f t="array" ref="F405">_xlfn.XLOOKUP(C405,customers[Customer ID],customers[City],"")</f>
        <v>Cleveland</v>
      </c>
      <c r="G405">
        <v>130</v>
      </c>
      <c r="H405" s="47" t="s">
        <v>36</v>
      </c>
      <c r="I405" s="48">
        <v>45039</v>
      </c>
      <c r="J405">
        <v>120</v>
      </c>
      <c r="K405">
        <v>3.8</v>
      </c>
      <c r="L405">
        <f>IF(MONTH(calls[[#This Row],[Date of Call]])&lt;=6,YEAR(calls[[#This Row],[Date of Call]]),YEAR(calls[[#This Row],[Date of Call]])+1)</f>
        <v>2023</v>
      </c>
      <c r="M405" t="str">
        <f>TEXT(calls[[#This Row],[Date of Call]],"DDDD")</f>
        <v>Sunday</v>
      </c>
      <c r="N405" t="str" cm="1">
        <f t="array" ref="N40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05">
        <f>ROUND(calls[[#This Row],[Satisfaction Rating]],0)</f>
        <v>4</v>
      </c>
      <c r="P405" s="53">
        <f t="shared" si="6"/>
        <v>307</v>
      </c>
    </row>
    <row r="406" spans="2:16">
      <c r="B406" t="s">
        <v>486</v>
      </c>
      <c r="C406" t="s">
        <v>73</v>
      </c>
      <c r="D406" s="46" t="str" cm="1">
        <f t="array" ref="D406">_xlfn.XLOOKUP(C406,customers[Customer ID],customers[Gender],"")</f>
        <v>Female</v>
      </c>
      <c r="E406" s="46" cm="1">
        <f t="array" ref="E406">_xlfn.XLOOKUP(C406,customers[Customer ID],customers[Age],"")</f>
        <v>38</v>
      </c>
      <c r="F406" s="46" t="str" cm="1">
        <f t="array" ref="F406">_xlfn.XLOOKUP(C406,customers[Customer ID],customers[City],"")</f>
        <v>Columbus</v>
      </c>
      <c r="G406">
        <v>163</v>
      </c>
      <c r="H406" s="47" t="s">
        <v>39</v>
      </c>
      <c r="I406" s="48">
        <v>45039</v>
      </c>
      <c r="J406">
        <v>62</v>
      </c>
      <c r="K406">
        <v>3.4</v>
      </c>
      <c r="L406">
        <f>IF(MONTH(calls[[#This Row],[Date of Call]])&lt;=6,YEAR(calls[[#This Row],[Date of Call]]),YEAR(calls[[#This Row],[Date of Call]])+1)</f>
        <v>2023</v>
      </c>
      <c r="M406" t="str">
        <f>TEXT(calls[[#This Row],[Date of Call]],"DDDD")</f>
        <v>Sunday</v>
      </c>
      <c r="N406" t="str" cm="1">
        <f t="array" ref="N40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06">
        <f>ROUND(calls[[#This Row],[Satisfaction Rating]],0)</f>
        <v>3</v>
      </c>
      <c r="P406" s="53">
        <f t="shared" si="6"/>
        <v>307</v>
      </c>
    </row>
    <row r="407" spans="2:16">
      <c r="B407" t="s">
        <v>487</v>
      </c>
      <c r="C407" t="s">
        <v>72</v>
      </c>
      <c r="D407" s="46" t="str" cm="1">
        <f t="array" ref="D407">_xlfn.XLOOKUP(C407,customers[Customer ID],customers[Gender],"")</f>
        <v>Female</v>
      </c>
      <c r="E407" s="46" cm="1">
        <f t="array" ref="E407">_xlfn.XLOOKUP(C407,customers[Customer ID],customers[Age],"")</f>
        <v>25</v>
      </c>
      <c r="F407" s="46" t="str" cm="1">
        <f t="array" ref="F407">_xlfn.XLOOKUP(C407,customers[Customer ID],customers[City],"")</f>
        <v>Columbus</v>
      </c>
      <c r="G407">
        <v>127</v>
      </c>
      <c r="H407" s="47" t="s">
        <v>36</v>
      </c>
      <c r="I407" s="48">
        <v>45039</v>
      </c>
      <c r="J407">
        <v>160</v>
      </c>
      <c r="K407">
        <v>3.2</v>
      </c>
      <c r="L407">
        <f>IF(MONTH(calls[[#This Row],[Date of Call]])&lt;=6,YEAR(calls[[#This Row],[Date of Call]]),YEAR(calls[[#This Row],[Date of Call]])+1)</f>
        <v>2023</v>
      </c>
      <c r="M407" t="str">
        <f>TEXT(calls[[#This Row],[Date of Call]],"DDDD")</f>
        <v>Sunday</v>
      </c>
      <c r="N407" t="str" cm="1">
        <f t="array" ref="N40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07">
        <f>ROUND(calls[[#This Row],[Satisfaction Rating]],0)</f>
        <v>3</v>
      </c>
      <c r="P407" s="53">
        <f t="shared" si="6"/>
        <v>307</v>
      </c>
    </row>
    <row r="408" spans="2:16">
      <c r="B408" t="s">
        <v>488</v>
      </c>
      <c r="C408" t="s">
        <v>60</v>
      </c>
      <c r="D408" s="46" t="str" cm="1">
        <f t="array" ref="D408">_xlfn.XLOOKUP(C408,customers[Customer ID],customers[Gender],"")</f>
        <v>Male</v>
      </c>
      <c r="E408" s="46" cm="1">
        <f t="array" ref="E408">_xlfn.XLOOKUP(C408,customers[Customer ID],customers[Age],"")</f>
        <v>36</v>
      </c>
      <c r="F408" s="46" t="str" cm="1">
        <f t="array" ref="F408">_xlfn.XLOOKUP(C408,customers[Customer ID],customers[City],"")</f>
        <v>Cincinnati</v>
      </c>
      <c r="G408">
        <v>50</v>
      </c>
      <c r="H408" s="47" t="s">
        <v>36</v>
      </c>
      <c r="I408" s="48">
        <v>45039</v>
      </c>
      <c r="J408">
        <v>56</v>
      </c>
      <c r="K408">
        <v>4.7</v>
      </c>
      <c r="L408">
        <f>IF(MONTH(calls[[#This Row],[Date of Call]])&lt;=6,YEAR(calls[[#This Row],[Date of Call]]),YEAR(calls[[#This Row],[Date of Call]])+1)</f>
        <v>2023</v>
      </c>
      <c r="M408" t="str">
        <f>TEXT(calls[[#This Row],[Date of Call]],"DDDD")</f>
        <v>Sunday</v>
      </c>
      <c r="N408" t="str" cm="1">
        <f t="array" ref="N40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08">
        <f>ROUND(calls[[#This Row],[Satisfaction Rating]],0)</f>
        <v>5</v>
      </c>
      <c r="P408" s="53">
        <f t="shared" si="6"/>
        <v>307</v>
      </c>
    </row>
    <row r="409" spans="2:16">
      <c r="B409" t="s">
        <v>489</v>
      </c>
      <c r="C409" t="s">
        <v>64</v>
      </c>
      <c r="D409" s="46" t="str" cm="1">
        <f t="array" ref="D409">_xlfn.XLOOKUP(C409,customers[Customer ID],customers[Gender],"")</f>
        <v>Female</v>
      </c>
      <c r="E409" s="46" cm="1">
        <f t="array" ref="E409">_xlfn.XLOOKUP(C409,customers[Customer ID],customers[Age],"")</f>
        <v>22</v>
      </c>
      <c r="F409" s="46" t="str" cm="1">
        <f t="array" ref="F409">_xlfn.XLOOKUP(C409,customers[Customer ID],customers[City],"")</f>
        <v>Cleveland</v>
      </c>
      <c r="G409">
        <v>88</v>
      </c>
      <c r="H409" s="47" t="s">
        <v>38</v>
      </c>
      <c r="I409" s="48">
        <v>45039</v>
      </c>
      <c r="J409">
        <v>72</v>
      </c>
      <c r="K409">
        <v>4</v>
      </c>
      <c r="L409">
        <f>IF(MONTH(calls[[#This Row],[Date of Call]])&lt;=6,YEAR(calls[[#This Row],[Date of Call]]),YEAR(calls[[#This Row],[Date of Call]])+1)</f>
        <v>2023</v>
      </c>
      <c r="M409" t="str">
        <f>TEXT(calls[[#This Row],[Date of Call]],"DDDD")</f>
        <v>Sunday</v>
      </c>
      <c r="N409" t="str" cm="1">
        <f t="array" ref="N4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09">
        <f>ROUND(calls[[#This Row],[Satisfaction Rating]],0)</f>
        <v>4</v>
      </c>
      <c r="P409" s="53">
        <f t="shared" si="6"/>
        <v>307</v>
      </c>
    </row>
    <row r="410" spans="2:16">
      <c r="B410" t="s">
        <v>490</v>
      </c>
      <c r="C410" t="s">
        <v>60</v>
      </c>
      <c r="D410" s="46" t="str" cm="1">
        <f t="array" ref="D410">_xlfn.XLOOKUP(C410,customers[Customer ID],customers[Gender],"")</f>
        <v>Male</v>
      </c>
      <c r="E410" s="46" cm="1">
        <f t="array" ref="E410">_xlfn.XLOOKUP(C410,customers[Customer ID],customers[Age],"")</f>
        <v>36</v>
      </c>
      <c r="F410" s="46" t="str" cm="1">
        <f t="array" ref="F410">_xlfn.XLOOKUP(C410,customers[Customer ID],customers[City],"")</f>
        <v>Cincinnati</v>
      </c>
      <c r="G410">
        <v>139</v>
      </c>
      <c r="H410" s="47" t="s">
        <v>37</v>
      </c>
      <c r="I410" s="48">
        <v>45040</v>
      </c>
      <c r="J410">
        <v>81</v>
      </c>
      <c r="K410">
        <v>4.8</v>
      </c>
      <c r="L410">
        <f>IF(MONTH(calls[[#This Row],[Date of Call]])&lt;=6,YEAR(calls[[#This Row],[Date of Call]]),YEAR(calls[[#This Row],[Date of Call]])+1)</f>
        <v>2023</v>
      </c>
      <c r="M410" t="str">
        <f>TEXT(calls[[#This Row],[Date of Call]],"DDDD")</f>
        <v>Monday</v>
      </c>
      <c r="N410" t="str" cm="1">
        <f t="array" ref="N41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10">
        <f>ROUND(calls[[#This Row],[Satisfaction Rating]],0)</f>
        <v>5</v>
      </c>
      <c r="P410" s="53">
        <f t="shared" si="6"/>
        <v>307</v>
      </c>
    </row>
    <row r="411" spans="2:16">
      <c r="B411" t="s">
        <v>491</v>
      </c>
      <c r="C411" t="s">
        <v>73</v>
      </c>
      <c r="D411" s="46" t="str" cm="1">
        <f t="array" ref="D411">_xlfn.XLOOKUP(C411,customers[Customer ID],customers[Gender],"")</f>
        <v>Female</v>
      </c>
      <c r="E411" s="46" cm="1">
        <f t="array" ref="E411">_xlfn.XLOOKUP(C411,customers[Customer ID],customers[Age],"")</f>
        <v>38</v>
      </c>
      <c r="F411" s="46" t="str" cm="1">
        <f t="array" ref="F411">_xlfn.XLOOKUP(C411,customers[Customer ID],customers[City],"")</f>
        <v>Columbus</v>
      </c>
      <c r="G411">
        <v>111</v>
      </c>
      <c r="H411" s="47" t="s">
        <v>36</v>
      </c>
      <c r="I411" s="48">
        <v>45040</v>
      </c>
      <c r="J411">
        <v>144</v>
      </c>
      <c r="K411">
        <v>3.9</v>
      </c>
      <c r="L411">
        <f>IF(MONTH(calls[[#This Row],[Date of Call]])&lt;=6,YEAR(calls[[#This Row],[Date of Call]]),YEAR(calls[[#This Row],[Date of Call]])+1)</f>
        <v>2023</v>
      </c>
      <c r="M411" t="str">
        <f>TEXT(calls[[#This Row],[Date of Call]],"DDDD")</f>
        <v>Monday</v>
      </c>
      <c r="N411" t="str" cm="1">
        <f t="array" ref="N41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11">
        <f>ROUND(calls[[#This Row],[Satisfaction Rating]],0)</f>
        <v>4</v>
      </c>
      <c r="P411" s="53">
        <f t="shared" si="6"/>
        <v>307</v>
      </c>
    </row>
    <row r="412" spans="2:16">
      <c r="B412" t="s">
        <v>492</v>
      </c>
      <c r="C412" t="s">
        <v>70</v>
      </c>
      <c r="D412" s="46" t="str" cm="1">
        <f t="array" ref="D412">_xlfn.XLOOKUP(C412,customers[Customer ID],customers[Gender],"")</f>
        <v>Male</v>
      </c>
      <c r="E412" s="46" cm="1">
        <f t="array" ref="E412">_xlfn.XLOOKUP(C412,customers[Customer ID],customers[Age],"")</f>
        <v>37</v>
      </c>
      <c r="F412" s="46" t="str" cm="1">
        <f t="array" ref="F412">_xlfn.XLOOKUP(C412,customers[Customer ID],customers[City],"")</f>
        <v>Columbus</v>
      </c>
      <c r="G412">
        <v>115</v>
      </c>
      <c r="H412" s="47" t="s">
        <v>37</v>
      </c>
      <c r="I412" s="48">
        <v>45040</v>
      </c>
      <c r="J412">
        <v>111</v>
      </c>
      <c r="K412">
        <v>4.3</v>
      </c>
      <c r="L412">
        <f>IF(MONTH(calls[[#This Row],[Date of Call]])&lt;=6,YEAR(calls[[#This Row],[Date of Call]]),YEAR(calls[[#This Row],[Date of Call]])+1)</f>
        <v>2023</v>
      </c>
      <c r="M412" t="str">
        <f>TEXT(calls[[#This Row],[Date of Call]],"DDDD")</f>
        <v>Monday</v>
      </c>
      <c r="N412" t="str" cm="1">
        <f t="array" ref="N41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12">
        <f>ROUND(calls[[#This Row],[Satisfaction Rating]],0)</f>
        <v>4</v>
      </c>
      <c r="P412" s="53">
        <f t="shared" si="6"/>
        <v>307</v>
      </c>
    </row>
    <row r="413" spans="2:16">
      <c r="B413" t="s">
        <v>493</v>
      </c>
      <c r="C413" t="s">
        <v>65</v>
      </c>
      <c r="D413" s="46" t="str" cm="1">
        <f t="array" ref="D413">_xlfn.XLOOKUP(C413,customers[Customer ID],customers[Gender],"")</f>
        <v>Female</v>
      </c>
      <c r="E413" s="46" cm="1">
        <f t="array" ref="E413">_xlfn.XLOOKUP(C413,customers[Customer ID],customers[Age],"")</f>
        <v>42</v>
      </c>
      <c r="F413" s="46" t="str" cm="1">
        <f t="array" ref="F413">_xlfn.XLOOKUP(C413,customers[Customer ID],customers[City],"")</f>
        <v>Cleveland</v>
      </c>
      <c r="G413">
        <v>26</v>
      </c>
      <c r="H413" s="47" t="s">
        <v>39</v>
      </c>
      <c r="I413" s="48">
        <v>45040</v>
      </c>
      <c r="J413">
        <v>43</v>
      </c>
      <c r="K413">
        <v>4.2</v>
      </c>
      <c r="L413">
        <f>IF(MONTH(calls[[#This Row],[Date of Call]])&lt;=6,YEAR(calls[[#This Row],[Date of Call]]),YEAR(calls[[#This Row],[Date of Call]])+1)</f>
        <v>2023</v>
      </c>
      <c r="M413" t="str">
        <f>TEXT(calls[[#This Row],[Date of Call]],"DDDD")</f>
        <v>Monday</v>
      </c>
      <c r="N413" t="str" cm="1">
        <f t="array" ref="N41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13">
        <f>ROUND(calls[[#This Row],[Satisfaction Rating]],0)</f>
        <v>4</v>
      </c>
      <c r="P413" s="53">
        <f t="shared" si="6"/>
        <v>307</v>
      </c>
    </row>
    <row r="414" spans="2:16">
      <c r="B414" t="s">
        <v>494</v>
      </c>
      <c r="C414" t="s">
        <v>66</v>
      </c>
      <c r="D414" s="46" t="str" cm="1">
        <f t="array" ref="D414">_xlfn.XLOOKUP(C414,customers[Customer ID],customers[Gender],"")</f>
        <v>Female</v>
      </c>
      <c r="E414" s="46" cm="1">
        <f t="array" ref="E414">_xlfn.XLOOKUP(C414,customers[Customer ID],customers[Age],"")</f>
        <v>30</v>
      </c>
      <c r="F414" s="46" t="str" cm="1">
        <f t="array" ref="F414">_xlfn.XLOOKUP(C414,customers[Customer ID],customers[City],"")</f>
        <v>Cleveland</v>
      </c>
      <c r="G414">
        <v>131</v>
      </c>
      <c r="H414" s="47" t="s">
        <v>38</v>
      </c>
      <c r="I414" s="48">
        <v>45040</v>
      </c>
      <c r="J414">
        <v>41</v>
      </c>
      <c r="K414">
        <v>4.9</v>
      </c>
      <c r="L414">
        <f>IF(MONTH(calls[[#This Row],[Date of Call]])&lt;=6,YEAR(calls[[#This Row],[Date of Call]]),YEAR(calls[[#This Row],[Date of Call]])+1)</f>
        <v>2023</v>
      </c>
      <c r="M414" t="str">
        <f>TEXT(calls[[#This Row],[Date of Call]],"DDDD")</f>
        <v>Monday</v>
      </c>
      <c r="N414" t="str" cm="1">
        <f t="array" ref="N41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14">
        <f>ROUND(calls[[#This Row],[Satisfaction Rating]],0)</f>
        <v>5</v>
      </c>
      <c r="P414" s="53">
        <f t="shared" si="6"/>
        <v>307</v>
      </c>
    </row>
    <row r="415" spans="2:16">
      <c r="B415" t="s">
        <v>495</v>
      </c>
      <c r="C415" t="s">
        <v>70</v>
      </c>
      <c r="D415" s="46" t="str" cm="1">
        <f t="array" ref="D415">_xlfn.XLOOKUP(C415,customers[Customer ID],customers[Gender],"")</f>
        <v>Male</v>
      </c>
      <c r="E415" s="46" cm="1">
        <f t="array" ref="E415">_xlfn.XLOOKUP(C415,customers[Customer ID],customers[Age],"")</f>
        <v>37</v>
      </c>
      <c r="F415" s="46" t="str" cm="1">
        <f t="array" ref="F415">_xlfn.XLOOKUP(C415,customers[Customer ID],customers[City],"")</f>
        <v>Columbus</v>
      </c>
      <c r="G415">
        <v>27</v>
      </c>
      <c r="H415" s="47" t="s">
        <v>38</v>
      </c>
      <c r="I415" s="48">
        <v>45040</v>
      </c>
      <c r="J415">
        <v>74</v>
      </c>
      <c r="K415">
        <v>4</v>
      </c>
      <c r="L415">
        <f>IF(MONTH(calls[[#This Row],[Date of Call]])&lt;=6,YEAR(calls[[#This Row],[Date of Call]]),YEAR(calls[[#This Row],[Date of Call]])+1)</f>
        <v>2023</v>
      </c>
      <c r="M415" t="str">
        <f>TEXT(calls[[#This Row],[Date of Call]],"DDDD")</f>
        <v>Monday</v>
      </c>
      <c r="N415" t="str" cm="1">
        <f t="array" ref="N41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15">
        <f>ROUND(calls[[#This Row],[Satisfaction Rating]],0)</f>
        <v>4</v>
      </c>
      <c r="P415" s="53">
        <f t="shared" si="6"/>
        <v>307</v>
      </c>
    </row>
    <row r="416" spans="2:16">
      <c r="B416" t="s">
        <v>496</v>
      </c>
      <c r="C416" t="s">
        <v>62</v>
      </c>
      <c r="D416" s="46" t="str" cm="1">
        <f t="array" ref="D416">_xlfn.XLOOKUP(C416,customers[Customer ID],customers[Gender],"")</f>
        <v>Female</v>
      </c>
      <c r="E416" s="46" cm="1">
        <f t="array" ref="E416">_xlfn.XLOOKUP(C416,customers[Customer ID],customers[Age],"")</f>
        <v>28</v>
      </c>
      <c r="F416" s="46" t="str" cm="1">
        <f t="array" ref="F416">_xlfn.XLOOKUP(C416,customers[Customer ID],customers[City],"")</f>
        <v>Cincinnati</v>
      </c>
      <c r="G416">
        <v>75</v>
      </c>
      <c r="H416" s="47" t="s">
        <v>36</v>
      </c>
      <c r="I416" s="48">
        <v>45040</v>
      </c>
      <c r="J416">
        <v>43</v>
      </c>
      <c r="K416">
        <v>4.9</v>
      </c>
      <c r="L416">
        <f>IF(MONTH(calls[[#This Row],[Date of Call]])&lt;=6,YEAR(calls[[#This Row],[Date of Call]]),YEAR(calls[[#This Row],[Date of Call]])+1)</f>
        <v>2023</v>
      </c>
      <c r="M416" t="str">
        <f>TEXT(calls[[#This Row],[Date of Call]],"DDDD")</f>
        <v>Monday</v>
      </c>
      <c r="N416" t="str" cm="1">
        <f t="array" ref="N41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16">
        <f>ROUND(calls[[#This Row],[Satisfaction Rating]],0)</f>
        <v>5</v>
      </c>
      <c r="P416" s="53">
        <f t="shared" si="6"/>
        <v>307</v>
      </c>
    </row>
    <row r="417" spans="2:16">
      <c r="B417" t="s">
        <v>497</v>
      </c>
      <c r="C417" t="s">
        <v>71</v>
      </c>
      <c r="D417" s="46" t="str" cm="1">
        <f t="array" ref="D417">_xlfn.XLOOKUP(C417,customers[Customer ID],customers[Gender],"")</f>
        <v>Male</v>
      </c>
      <c r="E417" s="46" cm="1">
        <f t="array" ref="E417">_xlfn.XLOOKUP(C417,customers[Customer ID],customers[Age],"")</f>
        <v>23</v>
      </c>
      <c r="F417" s="46" t="str" cm="1">
        <f t="array" ref="F417">_xlfn.XLOOKUP(C417,customers[Customer ID],customers[City],"")</f>
        <v>Columbus</v>
      </c>
      <c r="G417">
        <v>123</v>
      </c>
      <c r="H417" s="47" t="s">
        <v>38</v>
      </c>
      <c r="I417" s="48">
        <v>45040</v>
      </c>
      <c r="J417">
        <v>128</v>
      </c>
      <c r="K417">
        <v>3.6</v>
      </c>
      <c r="L417">
        <f>IF(MONTH(calls[[#This Row],[Date of Call]])&lt;=6,YEAR(calls[[#This Row],[Date of Call]]),YEAR(calls[[#This Row],[Date of Call]])+1)</f>
        <v>2023</v>
      </c>
      <c r="M417" t="str">
        <f>TEXT(calls[[#This Row],[Date of Call]],"DDDD")</f>
        <v>Monday</v>
      </c>
      <c r="N417" t="str" cm="1">
        <f t="array" ref="N41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17">
        <f>ROUND(calls[[#This Row],[Satisfaction Rating]],0)</f>
        <v>4</v>
      </c>
      <c r="P417" s="53">
        <f t="shared" si="6"/>
        <v>307</v>
      </c>
    </row>
    <row r="418" spans="2:16">
      <c r="B418" t="s">
        <v>498</v>
      </c>
      <c r="C418" t="s">
        <v>59</v>
      </c>
      <c r="D418" s="46" t="str" cm="1">
        <f t="array" ref="D418">_xlfn.XLOOKUP(C418,customers[Customer ID],customers[Gender],"")</f>
        <v>Male</v>
      </c>
      <c r="E418" s="46" cm="1">
        <f t="array" ref="E418">_xlfn.XLOOKUP(C418,customers[Customer ID],customers[Age],"")</f>
        <v>26</v>
      </c>
      <c r="F418" s="46" t="str" cm="1">
        <f t="array" ref="F418">_xlfn.XLOOKUP(C418,customers[Customer ID],customers[City],"")</f>
        <v>Cincinnati</v>
      </c>
      <c r="G418">
        <v>129</v>
      </c>
      <c r="H418" s="47" t="s">
        <v>38</v>
      </c>
      <c r="I418" s="48">
        <v>45041</v>
      </c>
      <c r="J418">
        <v>144</v>
      </c>
      <c r="K418">
        <v>4.1</v>
      </c>
      <c r="L418">
        <f>IF(MONTH(calls[[#This Row],[Date of Call]])&lt;=6,YEAR(calls[[#This Row],[Date of Call]]),YEAR(calls[[#This Row],[Date of Call]])+1)</f>
        <v>2023</v>
      </c>
      <c r="M418" t="str">
        <f>TEXT(calls[[#This Row],[Date of Call]],"DDDD")</f>
        <v>Tuesday</v>
      </c>
      <c r="N418" t="str" cm="1">
        <f t="array" ref="N41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18">
        <f>ROUND(calls[[#This Row],[Satisfaction Rating]],0)</f>
        <v>4</v>
      </c>
      <c r="P418" s="53">
        <f t="shared" si="6"/>
        <v>307</v>
      </c>
    </row>
    <row r="419" spans="2:16">
      <c r="B419" t="s">
        <v>499</v>
      </c>
      <c r="C419" t="s">
        <v>62</v>
      </c>
      <c r="D419" s="46" t="str" cm="1">
        <f t="array" ref="D419">_xlfn.XLOOKUP(C419,customers[Customer ID],customers[Gender],"")</f>
        <v>Female</v>
      </c>
      <c r="E419" s="46" cm="1">
        <f t="array" ref="E419">_xlfn.XLOOKUP(C419,customers[Customer ID],customers[Age],"")</f>
        <v>28</v>
      </c>
      <c r="F419" s="46" t="str" cm="1">
        <f t="array" ref="F419">_xlfn.XLOOKUP(C419,customers[Customer ID],customers[City],"")</f>
        <v>Cincinnati</v>
      </c>
      <c r="G419">
        <v>124</v>
      </c>
      <c r="H419" s="47" t="s">
        <v>37</v>
      </c>
      <c r="I419" s="48">
        <v>45041</v>
      </c>
      <c r="J419">
        <v>132</v>
      </c>
      <c r="K419">
        <v>4.9</v>
      </c>
      <c r="L419">
        <f>IF(MONTH(calls[[#This Row],[Date of Call]])&lt;=6,YEAR(calls[[#This Row],[Date of Call]]),YEAR(calls[[#This Row],[Date of Call]])+1)</f>
        <v>2023</v>
      </c>
      <c r="M419" t="str">
        <f>TEXT(calls[[#This Row],[Date of Call]],"DDDD")</f>
        <v>Tuesday</v>
      </c>
      <c r="N419" t="str" cm="1">
        <f t="array" ref="N41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19">
        <f>ROUND(calls[[#This Row],[Satisfaction Rating]],0)</f>
        <v>5</v>
      </c>
      <c r="P419" s="53">
        <f t="shared" si="6"/>
        <v>307</v>
      </c>
    </row>
    <row r="420" spans="2:16">
      <c r="B420" t="s">
        <v>500</v>
      </c>
      <c r="C420" t="s">
        <v>70</v>
      </c>
      <c r="D420" s="46" t="str" cm="1">
        <f t="array" ref="D420">_xlfn.XLOOKUP(C420,customers[Customer ID],customers[Gender],"")</f>
        <v>Male</v>
      </c>
      <c r="E420" s="46" cm="1">
        <f t="array" ref="E420">_xlfn.XLOOKUP(C420,customers[Customer ID],customers[Age],"")</f>
        <v>37</v>
      </c>
      <c r="F420" s="46" t="str" cm="1">
        <f t="array" ref="F420">_xlfn.XLOOKUP(C420,customers[Customer ID],customers[City],"")</f>
        <v>Columbus</v>
      </c>
      <c r="G420">
        <v>108</v>
      </c>
      <c r="H420" s="47" t="s">
        <v>37</v>
      </c>
      <c r="I420" s="48">
        <v>45041</v>
      </c>
      <c r="J420">
        <v>180</v>
      </c>
      <c r="K420">
        <v>3.9</v>
      </c>
      <c r="L420">
        <f>IF(MONTH(calls[[#This Row],[Date of Call]])&lt;=6,YEAR(calls[[#This Row],[Date of Call]]),YEAR(calls[[#This Row],[Date of Call]])+1)</f>
        <v>2023</v>
      </c>
      <c r="M420" t="str">
        <f>TEXT(calls[[#This Row],[Date of Call]],"DDDD")</f>
        <v>Tuesday</v>
      </c>
      <c r="N420" t="str" cm="1">
        <f t="array" ref="N42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20">
        <f>ROUND(calls[[#This Row],[Satisfaction Rating]],0)</f>
        <v>4</v>
      </c>
      <c r="P420" s="53">
        <f t="shared" si="6"/>
        <v>307</v>
      </c>
    </row>
    <row r="421" spans="2:16">
      <c r="B421" t="s">
        <v>501</v>
      </c>
      <c r="C421" t="s">
        <v>61</v>
      </c>
      <c r="D421" s="46" t="str" cm="1">
        <f t="array" ref="D421">_xlfn.XLOOKUP(C421,customers[Customer ID],customers[Gender],"")</f>
        <v>Female</v>
      </c>
      <c r="E421" s="46" cm="1">
        <f t="array" ref="E421">_xlfn.XLOOKUP(C421,customers[Customer ID],customers[Age],"")</f>
        <v>30</v>
      </c>
      <c r="F421" s="46" t="str" cm="1">
        <f t="array" ref="F421">_xlfn.XLOOKUP(C421,customers[Customer ID],customers[City],"")</f>
        <v>Cincinnati</v>
      </c>
      <c r="G421">
        <v>15</v>
      </c>
      <c r="H421" s="47" t="s">
        <v>37</v>
      </c>
      <c r="I421" s="48">
        <v>45041</v>
      </c>
      <c r="J421">
        <v>31</v>
      </c>
      <c r="K421">
        <v>4.1</v>
      </c>
      <c r="L421">
        <f>IF(MONTH(calls[[#This Row],[Date of Call]])&lt;=6,YEAR(calls[[#This Row],[Date of Call]]),YEAR(calls[[#This Row],[Date of Call]])+1)</f>
        <v>2023</v>
      </c>
      <c r="M421" t="str">
        <f>TEXT(calls[[#This Row],[Date of Call]],"DDDD")</f>
        <v>Tuesday</v>
      </c>
      <c r="N421" t="str" cm="1">
        <f t="array" ref="N421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21">
        <f>ROUND(calls[[#This Row],[Satisfaction Rating]],0)</f>
        <v>4</v>
      </c>
      <c r="P421" s="53">
        <f t="shared" si="6"/>
        <v>307</v>
      </c>
    </row>
    <row r="422" spans="2:16">
      <c r="B422" t="s">
        <v>502</v>
      </c>
      <c r="C422" t="s">
        <v>70</v>
      </c>
      <c r="D422" s="46" t="str" cm="1">
        <f t="array" ref="D422">_xlfn.XLOOKUP(C422,customers[Customer ID],customers[Gender],"")</f>
        <v>Male</v>
      </c>
      <c r="E422" s="46" cm="1">
        <f t="array" ref="E422">_xlfn.XLOOKUP(C422,customers[Customer ID],customers[Age],"")</f>
        <v>37</v>
      </c>
      <c r="F422" s="46" t="str" cm="1">
        <f t="array" ref="F422">_xlfn.XLOOKUP(C422,customers[Customer ID],customers[City],"")</f>
        <v>Columbus</v>
      </c>
      <c r="G422">
        <v>66</v>
      </c>
      <c r="H422" s="47" t="s">
        <v>37</v>
      </c>
      <c r="I422" s="48">
        <v>45041</v>
      </c>
      <c r="J422">
        <v>102</v>
      </c>
      <c r="K422">
        <v>3.8</v>
      </c>
      <c r="L422">
        <f>IF(MONTH(calls[[#This Row],[Date of Call]])&lt;=6,YEAR(calls[[#This Row],[Date of Call]]),YEAR(calls[[#This Row],[Date of Call]])+1)</f>
        <v>2023</v>
      </c>
      <c r="M422" t="str">
        <f>TEXT(calls[[#This Row],[Date of Call]],"DDDD")</f>
        <v>Tuesday</v>
      </c>
      <c r="N422" t="str" cm="1">
        <f t="array" ref="N42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22">
        <f>ROUND(calls[[#This Row],[Satisfaction Rating]],0)</f>
        <v>4</v>
      </c>
      <c r="P422" s="53">
        <f t="shared" si="6"/>
        <v>307</v>
      </c>
    </row>
    <row r="423" spans="2:16">
      <c r="B423" t="s">
        <v>503</v>
      </c>
      <c r="C423" t="s">
        <v>64</v>
      </c>
      <c r="D423" s="46" t="str" cm="1">
        <f t="array" ref="D423">_xlfn.XLOOKUP(C423,customers[Customer ID],customers[Gender],"")</f>
        <v>Female</v>
      </c>
      <c r="E423" s="46" cm="1">
        <f t="array" ref="E423">_xlfn.XLOOKUP(C423,customers[Customer ID],customers[Age],"")</f>
        <v>22</v>
      </c>
      <c r="F423" s="46" t="str" cm="1">
        <f t="array" ref="F423">_xlfn.XLOOKUP(C423,customers[Customer ID],customers[City],"")</f>
        <v>Cleveland</v>
      </c>
      <c r="G423">
        <v>126</v>
      </c>
      <c r="H423" s="47" t="s">
        <v>36</v>
      </c>
      <c r="I423" s="48">
        <v>45042</v>
      </c>
      <c r="J423">
        <v>175</v>
      </c>
      <c r="K423">
        <v>4.8</v>
      </c>
      <c r="L423">
        <f>IF(MONTH(calls[[#This Row],[Date of Call]])&lt;=6,YEAR(calls[[#This Row],[Date of Call]]),YEAR(calls[[#This Row],[Date of Call]])+1)</f>
        <v>2023</v>
      </c>
      <c r="M423" t="str">
        <f>TEXT(calls[[#This Row],[Date of Call]],"DDDD")</f>
        <v>Wednesday</v>
      </c>
      <c r="N423" t="str" cm="1">
        <f t="array" ref="N42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23">
        <f>ROUND(calls[[#This Row],[Satisfaction Rating]],0)</f>
        <v>5</v>
      </c>
      <c r="P423" s="53">
        <f t="shared" si="6"/>
        <v>307</v>
      </c>
    </row>
    <row r="424" spans="2:16">
      <c r="B424" t="s">
        <v>504</v>
      </c>
      <c r="C424" t="s">
        <v>62</v>
      </c>
      <c r="D424" s="46" t="str" cm="1">
        <f t="array" ref="D424">_xlfn.XLOOKUP(C424,customers[Customer ID],customers[Gender],"")</f>
        <v>Female</v>
      </c>
      <c r="E424" s="46" cm="1">
        <f t="array" ref="E424">_xlfn.XLOOKUP(C424,customers[Customer ID],customers[Age],"")</f>
        <v>28</v>
      </c>
      <c r="F424" s="46" t="str" cm="1">
        <f t="array" ref="F424">_xlfn.XLOOKUP(C424,customers[Customer ID],customers[City],"")</f>
        <v>Cincinnati</v>
      </c>
      <c r="G424">
        <v>26</v>
      </c>
      <c r="H424" s="47" t="s">
        <v>40</v>
      </c>
      <c r="I424" s="48">
        <v>45042</v>
      </c>
      <c r="J424">
        <v>87</v>
      </c>
      <c r="K424">
        <v>4.7</v>
      </c>
      <c r="L424">
        <f>IF(MONTH(calls[[#This Row],[Date of Call]])&lt;=6,YEAR(calls[[#This Row],[Date of Call]]),YEAR(calls[[#This Row],[Date of Call]])+1)</f>
        <v>2023</v>
      </c>
      <c r="M424" t="str">
        <f>TEXT(calls[[#This Row],[Date of Call]],"DDDD")</f>
        <v>Wednesday</v>
      </c>
      <c r="N424" t="str" cm="1">
        <f t="array" ref="N424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24">
        <f>ROUND(calls[[#This Row],[Satisfaction Rating]],0)</f>
        <v>5</v>
      </c>
      <c r="P424" s="53">
        <f t="shared" si="6"/>
        <v>307</v>
      </c>
    </row>
    <row r="425" spans="2:16">
      <c r="B425" t="s">
        <v>505</v>
      </c>
      <c r="C425" t="s">
        <v>63</v>
      </c>
      <c r="D425" s="46" t="str" cm="1">
        <f t="array" ref="D425">_xlfn.XLOOKUP(C425,customers[Customer ID],customers[Gender],"")</f>
        <v>Male</v>
      </c>
      <c r="E425" s="46" cm="1">
        <f t="array" ref="E425">_xlfn.XLOOKUP(C425,customers[Customer ID],customers[Age],"")</f>
        <v>31</v>
      </c>
      <c r="F425" s="46" t="str" cm="1">
        <f t="array" ref="F425">_xlfn.XLOOKUP(C425,customers[Customer ID],customers[City],"")</f>
        <v>Cleveland</v>
      </c>
      <c r="G425">
        <v>105</v>
      </c>
      <c r="H425" s="47" t="s">
        <v>36</v>
      </c>
      <c r="I425" s="48">
        <v>45042</v>
      </c>
      <c r="J425">
        <v>66</v>
      </c>
      <c r="K425">
        <v>4.2</v>
      </c>
      <c r="L425">
        <f>IF(MONTH(calls[[#This Row],[Date of Call]])&lt;=6,YEAR(calls[[#This Row],[Date of Call]]),YEAR(calls[[#This Row],[Date of Call]])+1)</f>
        <v>2023</v>
      </c>
      <c r="M425" t="str">
        <f>TEXT(calls[[#This Row],[Date of Call]],"DDDD")</f>
        <v>Wednesday</v>
      </c>
      <c r="N425" t="str" cm="1">
        <f t="array" ref="N42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25">
        <f>ROUND(calls[[#This Row],[Satisfaction Rating]],0)</f>
        <v>4</v>
      </c>
      <c r="P425" s="53">
        <f t="shared" si="6"/>
        <v>307</v>
      </c>
    </row>
    <row r="426" spans="2:16">
      <c r="B426" t="s">
        <v>506</v>
      </c>
      <c r="C426" t="s">
        <v>63</v>
      </c>
      <c r="D426" s="46" t="str" cm="1">
        <f t="array" ref="D426">_xlfn.XLOOKUP(C426,customers[Customer ID],customers[Gender],"")</f>
        <v>Male</v>
      </c>
      <c r="E426" s="46" cm="1">
        <f t="array" ref="E426">_xlfn.XLOOKUP(C426,customers[Customer ID],customers[Age],"")</f>
        <v>31</v>
      </c>
      <c r="F426" s="46" t="str" cm="1">
        <f t="array" ref="F426">_xlfn.XLOOKUP(C426,customers[Customer ID],customers[City],"")</f>
        <v>Cleveland</v>
      </c>
      <c r="G426">
        <v>31</v>
      </c>
      <c r="H426" s="47" t="s">
        <v>36</v>
      </c>
      <c r="I426" s="48">
        <v>45042</v>
      </c>
      <c r="J426">
        <v>25</v>
      </c>
      <c r="K426">
        <v>3.2</v>
      </c>
      <c r="L426">
        <f>IF(MONTH(calls[[#This Row],[Date of Call]])&lt;=6,YEAR(calls[[#This Row],[Date of Call]]),YEAR(calls[[#This Row],[Date of Call]])+1)</f>
        <v>2023</v>
      </c>
      <c r="M426" t="str">
        <f>TEXT(calls[[#This Row],[Date of Call]],"DDDD")</f>
        <v>Wednesday</v>
      </c>
      <c r="N426" t="str" cm="1">
        <f t="array" ref="N42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26">
        <f>ROUND(calls[[#This Row],[Satisfaction Rating]],0)</f>
        <v>3</v>
      </c>
      <c r="P426" s="53">
        <f t="shared" si="6"/>
        <v>307</v>
      </c>
    </row>
    <row r="427" spans="2:16">
      <c r="B427" t="s">
        <v>507</v>
      </c>
      <c r="C427" t="s">
        <v>70</v>
      </c>
      <c r="D427" s="46" t="str" cm="1">
        <f t="array" ref="D427">_xlfn.XLOOKUP(C427,customers[Customer ID],customers[Gender],"")</f>
        <v>Male</v>
      </c>
      <c r="E427" s="46" cm="1">
        <f t="array" ref="E427">_xlfn.XLOOKUP(C427,customers[Customer ID],customers[Age],"")</f>
        <v>37</v>
      </c>
      <c r="F427" s="46" t="str" cm="1">
        <f t="array" ref="F427">_xlfn.XLOOKUP(C427,customers[Customer ID],customers[City],"")</f>
        <v>Columbus</v>
      </c>
      <c r="G427">
        <v>109</v>
      </c>
      <c r="H427" s="47" t="s">
        <v>37</v>
      </c>
      <c r="I427" s="48">
        <v>45042</v>
      </c>
      <c r="J427">
        <v>126</v>
      </c>
      <c r="K427">
        <v>3.4</v>
      </c>
      <c r="L427">
        <f>IF(MONTH(calls[[#This Row],[Date of Call]])&lt;=6,YEAR(calls[[#This Row],[Date of Call]]),YEAR(calls[[#This Row],[Date of Call]])+1)</f>
        <v>2023</v>
      </c>
      <c r="M427" t="str">
        <f>TEXT(calls[[#This Row],[Date of Call]],"DDDD")</f>
        <v>Wednesday</v>
      </c>
      <c r="N427" t="str" cm="1">
        <f t="array" ref="N42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27">
        <f>ROUND(calls[[#This Row],[Satisfaction Rating]],0)</f>
        <v>3</v>
      </c>
      <c r="P427" s="53">
        <f t="shared" si="6"/>
        <v>307</v>
      </c>
    </row>
    <row r="428" spans="2:16">
      <c r="B428" t="s">
        <v>508</v>
      </c>
      <c r="C428" t="s">
        <v>59</v>
      </c>
      <c r="D428" s="46" t="str" cm="1">
        <f t="array" ref="D428">_xlfn.XLOOKUP(C428,customers[Customer ID],customers[Gender],"")</f>
        <v>Male</v>
      </c>
      <c r="E428" s="46" cm="1">
        <f t="array" ref="E428">_xlfn.XLOOKUP(C428,customers[Customer ID],customers[Age],"")</f>
        <v>26</v>
      </c>
      <c r="F428" s="46" t="str" cm="1">
        <f t="array" ref="F428">_xlfn.XLOOKUP(C428,customers[Customer ID],customers[City],"")</f>
        <v>Cincinnati</v>
      </c>
      <c r="G428">
        <v>113</v>
      </c>
      <c r="H428" s="47" t="s">
        <v>39</v>
      </c>
      <c r="I428" s="48">
        <v>45043</v>
      </c>
      <c r="J428">
        <v>42</v>
      </c>
      <c r="K428">
        <v>4.6</v>
      </c>
      <c r="L428">
        <f>IF(MONTH(calls[[#This Row],[Date of Call]])&lt;=6,YEAR(calls[[#This Row],[Date of Call]]),YEAR(calls[[#This Row],[Date of Call]])+1)</f>
        <v>2023</v>
      </c>
      <c r="M428" t="str">
        <f>TEXT(calls[[#This Row],[Date of Call]],"DDDD")</f>
        <v>Thursday</v>
      </c>
      <c r="N428" t="str" cm="1">
        <f t="array" ref="N4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28">
        <f>ROUND(calls[[#This Row],[Satisfaction Rating]],0)</f>
        <v>5</v>
      </c>
      <c r="P428" s="53">
        <f t="shared" si="6"/>
        <v>307</v>
      </c>
    </row>
    <row r="429" spans="2:16">
      <c r="B429" t="s">
        <v>509</v>
      </c>
      <c r="C429" t="s">
        <v>64</v>
      </c>
      <c r="D429" s="46" t="str" cm="1">
        <f t="array" ref="D429">_xlfn.XLOOKUP(C429,customers[Customer ID],customers[Gender],"")</f>
        <v>Female</v>
      </c>
      <c r="E429" s="46" cm="1">
        <f t="array" ref="E429">_xlfn.XLOOKUP(C429,customers[Customer ID],customers[Age],"")</f>
        <v>22</v>
      </c>
      <c r="F429" s="46" t="str" cm="1">
        <f t="array" ref="F429">_xlfn.XLOOKUP(C429,customers[Customer ID],customers[City],"")</f>
        <v>Cleveland</v>
      </c>
      <c r="G429">
        <v>101</v>
      </c>
      <c r="H429" s="47" t="s">
        <v>40</v>
      </c>
      <c r="I429" s="48">
        <v>45043</v>
      </c>
      <c r="J429">
        <v>225</v>
      </c>
      <c r="K429">
        <v>1.9</v>
      </c>
      <c r="L429">
        <f>IF(MONTH(calls[[#This Row],[Date of Call]])&lt;=6,YEAR(calls[[#This Row],[Date of Call]]),YEAR(calls[[#This Row],[Date of Call]])+1)</f>
        <v>2023</v>
      </c>
      <c r="M429" t="str">
        <f>TEXT(calls[[#This Row],[Date of Call]],"DDDD")</f>
        <v>Thursday</v>
      </c>
      <c r="N429" t="str" cm="1">
        <f t="array" ref="N4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29">
        <f>ROUND(calls[[#This Row],[Satisfaction Rating]],0)</f>
        <v>2</v>
      </c>
      <c r="P429" s="53">
        <f t="shared" si="6"/>
        <v>307</v>
      </c>
    </row>
    <row r="430" spans="2:16">
      <c r="B430" t="s">
        <v>510</v>
      </c>
      <c r="C430" t="s">
        <v>73</v>
      </c>
      <c r="D430" s="46" t="str" cm="1">
        <f t="array" ref="D430">_xlfn.XLOOKUP(C430,customers[Customer ID],customers[Gender],"")</f>
        <v>Female</v>
      </c>
      <c r="E430" s="46" cm="1">
        <f t="array" ref="E430">_xlfn.XLOOKUP(C430,customers[Customer ID],customers[Age],"")</f>
        <v>38</v>
      </c>
      <c r="F430" s="46" t="str" cm="1">
        <f t="array" ref="F430">_xlfn.XLOOKUP(C430,customers[Customer ID],customers[City],"")</f>
        <v>Columbus</v>
      </c>
      <c r="G430">
        <v>156</v>
      </c>
      <c r="H430" s="47" t="s">
        <v>40</v>
      </c>
      <c r="I430" s="48">
        <v>45043</v>
      </c>
      <c r="J430">
        <v>42</v>
      </c>
      <c r="K430">
        <v>3.3</v>
      </c>
      <c r="L430">
        <f>IF(MONTH(calls[[#This Row],[Date of Call]])&lt;=6,YEAR(calls[[#This Row],[Date of Call]]),YEAR(calls[[#This Row],[Date of Call]])+1)</f>
        <v>2023</v>
      </c>
      <c r="M430" t="str">
        <f>TEXT(calls[[#This Row],[Date of Call]],"DDDD")</f>
        <v>Thursday</v>
      </c>
      <c r="N430" t="str" cm="1">
        <f t="array" ref="N43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30">
        <f>ROUND(calls[[#This Row],[Satisfaction Rating]],0)</f>
        <v>3</v>
      </c>
      <c r="P430" s="53">
        <f t="shared" si="6"/>
        <v>307</v>
      </c>
    </row>
    <row r="431" spans="2:16">
      <c r="B431" t="s">
        <v>511</v>
      </c>
      <c r="C431" t="s">
        <v>70</v>
      </c>
      <c r="D431" s="46" t="str" cm="1">
        <f t="array" ref="D431">_xlfn.XLOOKUP(C431,customers[Customer ID],customers[Gender],"")</f>
        <v>Male</v>
      </c>
      <c r="E431" s="46" cm="1">
        <f t="array" ref="E431">_xlfn.XLOOKUP(C431,customers[Customer ID],customers[Age],"")</f>
        <v>37</v>
      </c>
      <c r="F431" s="46" t="str" cm="1">
        <f t="array" ref="F431">_xlfn.XLOOKUP(C431,customers[Customer ID],customers[City],"")</f>
        <v>Columbus</v>
      </c>
      <c r="G431">
        <v>145</v>
      </c>
      <c r="H431" s="47" t="s">
        <v>39</v>
      </c>
      <c r="I431" s="48">
        <v>45044</v>
      </c>
      <c r="J431">
        <v>110</v>
      </c>
      <c r="K431">
        <v>3.1</v>
      </c>
      <c r="L431">
        <f>IF(MONTH(calls[[#This Row],[Date of Call]])&lt;=6,YEAR(calls[[#This Row],[Date of Call]]),YEAR(calls[[#This Row],[Date of Call]])+1)</f>
        <v>2023</v>
      </c>
      <c r="M431" t="str">
        <f>TEXT(calls[[#This Row],[Date of Call]],"DDDD")</f>
        <v>Friday</v>
      </c>
      <c r="N431" t="str" cm="1">
        <f t="array" ref="N43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31">
        <f>ROUND(calls[[#This Row],[Satisfaction Rating]],0)</f>
        <v>3</v>
      </c>
      <c r="P431" s="53">
        <f t="shared" si="6"/>
        <v>307</v>
      </c>
    </row>
    <row r="432" spans="2:16">
      <c r="B432" t="s">
        <v>512</v>
      </c>
      <c r="C432" t="s">
        <v>71</v>
      </c>
      <c r="D432" s="46" t="str" cm="1">
        <f t="array" ref="D432">_xlfn.XLOOKUP(C432,customers[Customer ID],customers[Gender],"")</f>
        <v>Male</v>
      </c>
      <c r="E432" s="46" cm="1">
        <f t="array" ref="E432">_xlfn.XLOOKUP(C432,customers[Customer ID],customers[Age],"")</f>
        <v>23</v>
      </c>
      <c r="F432" s="46" t="str" cm="1">
        <f t="array" ref="F432">_xlfn.XLOOKUP(C432,customers[Customer ID],customers[City],"")</f>
        <v>Columbus</v>
      </c>
      <c r="G432">
        <v>36</v>
      </c>
      <c r="H432" s="47" t="s">
        <v>37</v>
      </c>
      <c r="I432" s="48">
        <v>45044</v>
      </c>
      <c r="J432">
        <v>225</v>
      </c>
      <c r="K432">
        <v>4.8</v>
      </c>
      <c r="L432">
        <f>IF(MONTH(calls[[#This Row],[Date of Call]])&lt;=6,YEAR(calls[[#This Row],[Date of Call]]),YEAR(calls[[#This Row],[Date of Call]])+1)</f>
        <v>2023</v>
      </c>
      <c r="M432" t="str">
        <f>TEXT(calls[[#This Row],[Date of Call]],"DDDD")</f>
        <v>Friday</v>
      </c>
      <c r="N432" t="str" cm="1">
        <f t="array" ref="N43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32">
        <f>ROUND(calls[[#This Row],[Satisfaction Rating]],0)</f>
        <v>5</v>
      </c>
      <c r="P432" s="53">
        <f t="shared" si="6"/>
        <v>307</v>
      </c>
    </row>
    <row r="433" spans="2:16">
      <c r="B433" t="s">
        <v>513</v>
      </c>
      <c r="C433" t="s">
        <v>63</v>
      </c>
      <c r="D433" s="46" t="str" cm="1">
        <f t="array" ref="D433">_xlfn.XLOOKUP(C433,customers[Customer ID],customers[Gender],"")</f>
        <v>Male</v>
      </c>
      <c r="E433" s="46" cm="1">
        <f t="array" ref="E433">_xlfn.XLOOKUP(C433,customers[Customer ID],customers[Age],"")</f>
        <v>31</v>
      </c>
      <c r="F433" s="46" t="str" cm="1">
        <f t="array" ref="F433">_xlfn.XLOOKUP(C433,customers[Customer ID],customers[City],"")</f>
        <v>Cleveland</v>
      </c>
      <c r="G433">
        <v>135</v>
      </c>
      <c r="H433" s="47" t="s">
        <v>38</v>
      </c>
      <c r="I433" s="48">
        <v>45045</v>
      </c>
      <c r="J433">
        <v>125</v>
      </c>
      <c r="K433">
        <v>3.3</v>
      </c>
      <c r="L433">
        <f>IF(MONTH(calls[[#This Row],[Date of Call]])&lt;=6,YEAR(calls[[#This Row],[Date of Call]]),YEAR(calls[[#This Row],[Date of Call]])+1)</f>
        <v>2023</v>
      </c>
      <c r="M433" t="str">
        <f>TEXT(calls[[#This Row],[Date of Call]],"DDDD")</f>
        <v>Saturday</v>
      </c>
      <c r="N433" t="str" cm="1">
        <f t="array" ref="N43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33">
        <f>ROUND(calls[[#This Row],[Satisfaction Rating]],0)</f>
        <v>3</v>
      </c>
      <c r="P433" s="53">
        <f t="shared" si="6"/>
        <v>307</v>
      </c>
    </row>
    <row r="434" spans="2:16">
      <c r="B434" t="s">
        <v>514</v>
      </c>
      <c r="C434" t="s">
        <v>64</v>
      </c>
      <c r="D434" s="46" t="str" cm="1">
        <f t="array" ref="D434">_xlfn.XLOOKUP(C434,customers[Customer ID],customers[Gender],"")</f>
        <v>Female</v>
      </c>
      <c r="E434" s="46" cm="1">
        <f t="array" ref="E434">_xlfn.XLOOKUP(C434,customers[Customer ID],customers[Age],"")</f>
        <v>22</v>
      </c>
      <c r="F434" s="46" t="str" cm="1">
        <f t="array" ref="F434">_xlfn.XLOOKUP(C434,customers[Customer ID],customers[City],"")</f>
        <v>Cleveland</v>
      </c>
      <c r="G434">
        <v>81</v>
      </c>
      <c r="H434" s="47" t="s">
        <v>37</v>
      </c>
      <c r="I434" s="48">
        <v>45045</v>
      </c>
      <c r="J434">
        <v>78</v>
      </c>
      <c r="K434">
        <v>2.9</v>
      </c>
      <c r="L434">
        <f>IF(MONTH(calls[[#This Row],[Date of Call]])&lt;=6,YEAR(calls[[#This Row],[Date of Call]]),YEAR(calls[[#This Row],[Date of Call]])+1)</f>
        <v>2023</v>
      </c>
      <c r="M434" t="str">
        <f>TEXT(calls[[#This Row],[Date of Call]],"DDDD")</f>
        <v>Saturday</v>
      </c>
      <c r="N434" t="str" cm="1">
        <f t="array" ref="N43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34">
        <f>ROUND(calls[[#This Row],[Satisfaction Rating]],0)</f>
        <v>3</v>
      </c>
      <c r="P434" s="53">
        <f t="shared" si="6"/>
        <v>307</v>
      </c>
    </row>
    <row r="435" spans="2:16">
      <c r="B435" t="s">
        <v>515</v>
      </c>
      <c r="C435" t="s">
        <v>64</v>
      </c>
      <c r="D435" s="46" t="str" cm="1">
        <f t="array" ref="D435">_xlfn.XLOOKUP(C435,customers[Customer ID],customers[Gender],"")</f>
        <v>Female</v>
      </c>
      <c r="E435" s="46" cm="1">
        <f t="array" ref="E435">_xlfn.XLOOKUP(C435,customers[Customer ID],customers[Age],"")</f>
        <v>22</v>
      </c>
      <c r="F435" s="46" t="str" cm="1">
        <f t="array" ref="F435">_xlfn.XLOOKUP(C435,customers[Customer ID],customers[City],"")</f>
        <v>Cleveland</v>
      </c>
      <c r="G435">
        <v>81</v>
      </c>
      <c r="H435" s="47" t="s">
        <v>39</v>
      </c>
      <c r="I435" s="48">
        <v>45045</v>
      </c>
      <c r="J435">
        <v>40</v>
      </c>
      <c r="K435">
        <v>2.4</v>
      </c>
      <c r="L435">
        <f>IF(MONTH(calls[[#This Row],[Date of Call]])&lt;=6,YEAR(calls[[#This Row],[Date of Call]]),YEAR(calls[[#This Row],[Date of Call]])+1)</f>
        <v>2023</v>
      </c>
      <c r="M435" t="str">
        <f>TEXT(calls[[#This Row],[Date of Call]],"DDDD")</f>
        <v>Saturday</v>
      </c>
      <c r="N435" t="str" cm="1">
        <f t="array" ref="N43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35">
        <f>ROUND(calls[[#This Row],[Satisfaction Rating]],0)</f>
        <v>2</v>
      </c>
      <c r="P435" s="53">
        <f t="shared" si="6"/>
        <v>307</v>
      </c>
    </row>
    <row r="436" spans="2:16">
      <c r="B436" t="s">
        <v>516</v>
      </c>
      <c r="C436" t="s">
        <v>72</v>
      </c>
      <c r="D436" s="46" t="str" cm="1">
        <f t="array" ref="D436">_xlfn.XLOOKUP(C436,customers[Customer ID],customers[Gender],"")</f>
        <v>Female</v>
      </c>
      <c r="E436" s="46" cm="1">
        <f t="array" ref="E436">_xlfn.XLOOKUP(C436,customers[Customer ID],customers[Age],"")</f>
        <v>25</v>
      </c>
      <c r="F436" s="46" t="str" cm="1">
        <f t="array" ref="F436">_xlfn.XLOOKUP(C436,customers[Customer ID],customers[City],"")</f>
        <v>Columbus</v>
      </c>
      <c r="G436">
        <v>93</v>
      </c>
      <c r="H436" s="47" t="s">
        <v>36</v>
      </c>
      <c r="I436" s="48">
        <v>45045</v>
      </c>
      <c r="J436">
        <v>150</v>
      </c>
      <c r="K436">
        <v>4.6</v>
      </c>
      <c r="L436">
        <f>IF(MONTH(calls[[#This Row],[Date of Call]])&lt;=6,YEAR(calls[[#This Row],[Date of Call]]),YEAR(calls[[#This Row],[Date of Call]])+1)</f>
        <v>2023</v>
      </c>
      <c r="M436" t="str">
        <f>TEXT(calls[[#This Row],[Date of Call]],"DDDD")</f>
        <v>Saturday</v>
      </c>
      <c r="N436" t="str" cm="1">
        <f t="array" ref="N43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36">
        <f>ROUND(calls[[#This Row],[Satisfaction Rating]],0)</f>
        <v>5</v>
      </c>
      <c r="P436" s="53">
        <f t="shared" si="6"/>
        <v>307</v>
      </c>
    </row>
    <row r="437" spans="2:16">
      <c r="B437" t="s">
        <v>517</v>
      </c>
      <c r="C437" t="s">
        <v>70</v>
      </c>
      <c r="D437" s="46" t="str" cm="1">
        <f t="array" ref="D437">_xlfn.XLOOKUP(C437,customers[Customer ID],customers[Gender],"")</f>
        <v>Male</v>
      </c>
      <c r="E437" s="46" cm="1">
        <f t="array" ref="E437">_xlfn.XLOOKUP(C437,customers[Customer ID],customers[Age],"")</f>
        <v>37</v>
      </c>
      <c r="F437" s="46" t="str" cm="1">
        <f t="array" ref="F437">_xlfn.XLOOKUP(C437,customers[Customer ID],customers[City],"")</f>
        <v>Columbus</v>
      </c>
      <c r="G437">
        <v>14</v>
      </c>
      <c r="H437" s="47" t="s">
        <v>37</v>
      </c>
      <c r="I437" s="48">
        <v>45045</v>
      </c>
      <c r="J437">
        <v>96</v>
      </c>
      <c r="K437">
        <v>4.8</v>
      </c>
      <c r="L437">
        <f>IF(MONTH(calls[[#This Row],[Date of Call]])&lt;=6,YEAR(calls[[#This Row],[Date of Call]]),YEAR(calls[[#This Row],[Date of Call]])+1)</f>
        <v>2023</v>
      </c>
      <c r="M437" t="str">
        <f>TEXT(calls[[#This Row],[Date of Call]],"DDDD")</f>
        <v>Saturday</v>
      </c>
      <c r="N437" t="str" cm="1">
        <f t="array" ref="N43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37">
        <f>ROUND(calls[[#This Row],[Satisfaction Rating]],0)</f>
        <v>5</v>
      </c>
      <c r="P437" s="53">
        <f t="shared" si="6"/>
        <v>307</v>
      </c>
    </row>
    <row r="438" spans="2:16">
      <c r="B438" t="s">
        <v>518</v>
      </c>
      <c r="C438" t="s">
        <v>63</v>
      </c>
      <c r="D438" s="46" t="str" cm="1">
        <f t="array" ref="D438">_xlfn.XLOOKUP(C438,customers[Customer ID],customers[Gender],"")</f>
        <v>Male</v>
      </c>
      <c r="E438" s="46" cm="1">
        <f t="array" ref="E438">_xlfn.XLOOKUP(C438,customers[Customer ID],customers[Age],"")</f>
        <v>31</v>
      </c>
      <c r="F438" s="46" t="str" cm="1">
        <f t="array" ref="F438">_xlfn.XLOOKUP(C438,customers[Customer ID],customers[City],"")</f>
        <v>Cleveland</v>
      </c>
      <c r="G438">
        <v>95</v>
      </c>
      <c r="H438" s="47" t="s">
        <v>39</v>
      </c>
      <c r="I438" s="48">
        <v>45046</v>
      </c>
      <c r="J438">
        <v>75</v>
      </c>
      <c r="K438">
        <v>4.8</v>
      </c>
      <c r="L438">
        <f>IF(MONTH(calls[[#This Row],[Date of Call]])&lt;=6,YEAR(calls[[#This Row],[Date of Call]]),YEAR(calls[[#This Row],[Date of Call]])+1)</f>
        <v>2023</v>
      </c>
      <c r="M438" t="str">
        <f>TEXT(calls[[#This Row],[Date of Call]],"DDDD")</f>
        <v>Sunday</v>
      </c>
      <c r="N438" t="str" cm="1">
        <f t="array" ref="N4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38">
        <f>ROUND(calls[[#This Row],[Satisfaction Rating]],0)</f>
        <v>5</v>
      </c>
      <c r="P438" s="53">
        <f t="shared" si="6"/>
        <v>307</v>
      </c>
    </row>
    <row r="439" spans="2:16">
      <c r="B439" t="s">
        <v>519</v>
      </c>
      <c r="C439" t="s">
        <v>72</v>
      </c>
      <c r="D439" s="46" t="str" cm="1">
        <f t="array" ref="D439">_xlfn.XLOOKUP(C439,customers[Customer ID],customers[Gender],"")</f>
        <v>Female</v>
      </c>
      <c r="E439" s="46" cm="1">
        <f t="array" ref="E439">_xlfn.XLOOKUP(C439,customers[Customer ID],customers[Age],"")</f>
        <v>25</v>
      </c>
      <c r="F439" s="46" t="str" cm="1">
        <f t="array" ref="F439">_xlfn.XLOOKUP(C439,customers[Customer ID],customers[City],"")</f>
        <v>Columbus</v>
      </c>
      <c r="G439">
        <v>81</v>
      </c>
      <c r="H439" s="47" t="s">
        <v>39</v>
      </c>
      <c r="I439" s="48">
        <v>45046</v>
      </c>
      <c r="J439">
        <v>60</v>
      </c>
      <c r="K439">
        <v>3.6</v>
      </c>
      <c r="L439">
        <f>IF(MONTH(calls[[#This Row],[Date of Call]])&lt;=6,YEAR(calls[[#This Row],[Date of Call]]),YEAR(calls[[#This Row],[Date of Call]])+1)</f>
        <v>2023</v>
      </c>
      <c r="M439" t="str">
        <f>TEXT(calls[[#This Row],[Date of Call]],"DDDD")</f>
        <v>Sunday</v>
      </c>
      <c r="N439" t="str" cm="1">
        <f t="array" ref="N4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39">
        <f>ROUND(calls[[#This Row],[Satisfaction Rating]],0)</f>
        <v>4</v>
      </c>
      <c r="P439" s="53">
        <f t="shared" si="6"/>
        <v>307</v>
      </c>
    </row>
    <row r="440" spans="2:16">
      <c r="B440" t="s">
        <v>520</v>
      </c>
      <c r="C440" t="s">
        <v>65</v>
      </c>
      <c r="D440" s="46" t="str" cm="1">
        <f t="array" ref="D440">_xlfn.XLOOKUP(C440,customers[Customer ID],customers[Gender],"")</f>
        <v>Female</v>
      </c>
      <c r="E440" s="46" cm="1">
        <f t="array" ref="E440">_xlfn.XLOOKUP(C440,customers[Customer ID],customers[Age],"")</f>
        <v>42</v>
      </c>
      <c r="F440" s="46" t="str" cm="1">
        <f t="array" ref="F440">_xlfn.XLOOKUP(C440,customers[Customer ID],customers[City],"")</f>
        <v>Cleveland</v>
      </c>
      <c r="G440">
        <v>60</v>
      </c>
      <c r="H440" s="47" t="s">
        <v>37</v>
      </c>
      <c r="I440" s="48">
        <v>45047</v>
      </c>
      <c r="J440">
        <v>41</v>
      </c>
      <c r="K440">
        <v>4.8</v>
      </c>
      <c r="L440">
        <f>IF(MONTH(calls[[#This Row],[Date of Call]])&lt;=6,YEAR(calls[[#This Row],[Date of Call]]),YEAR(calls[[#This Row],[Date of Call]])+1)</f>
        <v>2023</v>
      </c>
      <c r="M440" t="str">
        <f>TEXT(calls[[#This Row],[Date of Call]],"DDDD")</f>
        <v>Monday</v>
      </c>
      <c r="N440" t="str" cm="1">
        <f t="array" ref="N44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40">
        <f>ROUND(calls[[#This Row],[Satisfaction Rating]],0)</f>
        <v>5</v>
      </c>
      <c r="P440" s="53">
        <f t="shared" si="6"/>
        <v>307</v>
      </c>
    </row>
    <row r="441" spans="2:16">
      <c r="B441" t="s">
        <v>521</v>
      </c>
      <c r="C441" t="s">
        <v>67</v>
      </c>
      <c r="D441" s="46" t="str" cm="1">
        <f t="array" ref="D441">_xlfn.XLOOKUP(C441,customers[Customer ID],customers[Gender],"")</f>
        <v>Female</v>
      </c>
      <c r="E441" s="46" cm="1">
        <f t="array" ref="E441">_xlfn.XLOOKUP(C441,customers[Customer ID],customers[Age],"")</f>
        <v>37</v>
      </c>
      <c r="F441" s="46" t="str" cm="1">
        <f t="array" ref="F441">_xlfn.XLOOKUP(C441,customers[Customer ID],customers[City],"")</f>
        <v>Cleveland</v>
      </c>
      <c r="G441">
        <v>137</v>
      </c>
      <c r="H441" s="47" t="s">
        <v>36</v>
      </c>
      <c r="I441" s="48">
        <v>45047</v>
      </c>
      <c r="J441">
        <v>20</v>
      </c>
      <c r="K441">
        <v>4.2</v>
      </c>
      <c r="L441">
        <f>IF(MONTH(calls[[#This Row],[Date of Call]])&lt;=6,YEAR(calls[[#This Row],[Date of Call]]),YEAR(calls[[#This Row],[Date of Call]])+1)</f>
        <v>2023</v>
      </c>
      <c r="M441" t="str">
        <f>TEXT(calls[[#This Row],[Date of Call]],"DDDD")</f>
        <v>Monday</v>
      </c>
      <c r="N441" t="str" cm="1">
        <f t="array" ref="N44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41">
        <f>ROUND(calls[[#This Row],[Satisfaction Rating]],0)</f>
        <v>4</v>
      </c>
      <c r="P441" s="53">
        <f t="shared" si="6"/>
        <v>307</v>
      </c>
    </row>
    <row r="442" spans="2:16">
      <c r="B442" t="s">
        <v>522</v>
      </c>
      <c r="C442" t="s">
        <v>60</v>
      </c>
      <c r="D442" s="46" t="str" cm="1">
        <f t="array" ref="D442">_xlfn.XLOOKUP(C442,customers[Customer ID],customers[Gender],"")</f>
        <v>Male</v>
      </c>
      <c r="E442" s="46" cm="1">
        <f t="array" ref="E442">_xlfn.XLOOKUP(C442,customers[Customer ID],customers[Age],"")</f>
        <v>36</v>
      </c>
      <c r="F442" s="46" t="str" cm="1">
        <f t="array" ref="F442">_xlfn.XLOOKUP(C442,customers[Customer ID],customers[City],"")</f>
        <v>Cincinnati</v>
      </c>
      <c r="G442">
        <v>112</v>
      </c>
      <c r="H442" s="47" t="s">
        <v>38</v>
      </c>
      <c r="I442" s="48">
        <v>45047</v>
      </c>
      <c r="J442">
        <v>84</v>
      </c>
      <c r="K442">
        <v>2.6</v>
      </c>
      <c r="L442">
        <f>IF(MONTH(calls[[#This Row],[Date of Call]])&lt;=6,YEAR(calls[[#This Row],[Date of Call]]),YEAR(calls[[#This Row],[Date of Call]])+1)</f>
        <v>2023</v>
      </c>
      <c r="M442" t="str">
        <f>TEXT(calls[[#This Row],[Date of Call]],"DDDD")</f>
        <v>Monday</v>
      </c>
      <c r="N442" t="str" cm="1">
        <f t="array" ref="N4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42">
        <f>ROUND(calls[[#This Row],[Satisfaction Rating]],0)</f>
        <v>3</v>
      </c>
      <c r="P442" s="53">
        <f t="shared" si="6"/>
        <v>307</v>
      </c>
    </row>
    <row r="443" spans="2:16">
      <c r="B443" t="s">
        <v>523</v>
      </c>
      <c r="C443" t="s">
        <v>63</v>
      </c>
      <c r="D443" s="46" t="str" cm="1">
        <f t="array" ref="D443">_xlfn.XLOOKUP(C443,customers[Customer ID],customers[Gender],"")</f>
        <v>Male</v>
      </c>
      <c r="E443" s="46" cm="1">
        <f t="array" ref="E443">_xlfn.XLOOKUP(C443,customers[Customer ID],customers[Age],"")</f>
        <v>31</v>
      </c>
      <c r="F443" s="46" t="str" cm="1">
        <f t="array" ref="F443">_xlfn.XLOOKUP(C443,customers[Customer ID],customers[City],"")</f>
        <v>Cleveland</v>
      </c>
      <c r="G443">
        <v>76</v>
      </c>
      <c r="H443" s="47" t="s">
        <v>40</v>
      </c>
      <c r="I443" s="48">
        <v>45047</v>
      </c>
      <c r="J443">
        <v>140</v>
      </c>
      <c r="K443">
        <v>3.7</v>
      </c>
      <c r="L443">
        <f>IF(MONTH(calls[[#This Row],[Date of Call]])&lt;=6,YEAR(calls[[#This Row],[Date of Call]]),YEAR(calls[[#This Row],[Date of Call]])+1)</f>
        <v>2023</v>
      </c>
      <c r="M443" t="str">
        <f>TEXT(calls[[#This Row],[Date of Call]],"DDDD")</f>
        <v>Monday</v>
      </c>
      <c r="N443" t="str" cm="1">
        <f t="array" ref="N4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43">
        <f>ROUND(calls[[#This Row],[Satisfaction Rating]],0)</f>
        <v>4</v>
      </c>
      <c r="P443" s="53">
        <f t="shared" si="6"/>
        <v>307</v>
      </c>
    </row>
    <row r="444" spans="2:16">
      <c r="B444" t="s">
        <v>524</v>
      </c>
      <c r="C444" t="s">
        <v>68</v>
      </c>
      <c r="D444" s="46" t="str" cm="1">
        <f t="array" ref="D444">_xlfn.XLOOKUP(C444,customers[Customer ID],customers[Gender],"")</f>
        <v>Female</v>
      </c>
      <c r="E444" s="46" cm="1">
        <f t="array" ref="E444">_xlfn.XLOOKUP(C444,customers[Customer ID],customers[Age],"")</f>
        <v>43</v>
      </c>
      <c r="F444" s="46" t="str" cm="1">
        <f t="array" ref="F444">_xlfn.XLOOKUP(C444,customers[Customer ID],customers[City],"")</f>
        <v>Cleveland</v>
      </c>
      <c r="G444">
        <v>73</v>
      </c>
      <c r="H444" s="47" t="s">
        <v>37</v>
      </c>
      <c r="I444" s="48">
        <v>45047</v>
      </c>
      <c r="J444">
        <v>66</v>
      </c>
      <c r="K444">
        <v>4.8</v>
      </c>
      <c r="L444">
        <f>IF(MONTH(calls[[#This Row],[Date of Call]])&lt;=6,YEAR(calls[[#This Row],[Date of Call]]),YEAR(calls[[#This Row],[Date of Call]])+1)</f>
        <v>2023</v>
      </c>
      <c r="M444" t="str">
        <f>TEXT(calls[[#This Row],[Date of Call]],"DDDD")</f>
        <v>Monday</v>
      </c>
      <c r="N444" t="str" cm="1">
        <f t="array" ref="N4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44">
        <f>ROUND(calls[[#This Row],[Satisfaction Rating]],0)</f>
        <v>5</v>
      </c>
      <c r="P444" s="53">
        <f t="shared" si="6"/>
        <v>307</v>
      </c>
    </row>
    <row r="445" spans="2:16">
      <c r="B445" t="s">
        <v>525</v>
      </c>
      <c r="C445" t="s">
        <v>66</v>
      </c>
      <c r="D445" s="46" t="str" cm="1">
        <f t="array" ref="D445">_xlfn.XLOOKUP(C445,customers[Customer ID],customers[Gender],"")</f>
        <v>Female</v>
      </c>
      <c r="E445" s="46" cm="1">
        <f t="array" ref="E445">_xlfn.XLOOKUP(C445,customers[Customer ID],customers[Age],"")</f>
        <v>30</v>
      </c>
      <c r="F445" s="46" t="str" cm="1">
        <f t="array" ref="F445">_xlfn.XLOOKUP(C445,customers[Customer ID],customers[City],"")</f>
        <v>Cleveland</v>
      </c>
      <c r="G445">
        <v>119</v>
      </c>
      <c r="H445" s="47" t="s">
        <v>36</v>
      </c>
      <c r="I445" s="48">
        <v>45047</v>
      </c>
      <c r="J445">
        <v>105</v>
      </c>
      <c r="K445">
        <v>4.7</v>
      </c>
      <c r="L445">
        <f>IF(MONTH(calls[[#This Row],[Date of Call]])&lt;=6,YEAR(calls[[#This Row],[Date of Call]]),YEAR(calls[[#This Row],[Date of Call]])+1)</f>
        <v>2023</v>
      </c>
      <c r="M445" t="str">
        <f>TEXT(calls[[#This Row],[Date of Call]],"DDDD")</f>
        <v>Monday</v>
      </c>
      <c r="N445" t="str" cm="1">
        <f t="array" ref="N4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45">
        <f>ROUND(calls[[#This Row],[Satisfaction Rating]],0)</f>
        <v>5</v>
      </c>
      <c r="P445" s="53">
        <f t="shared" si="6"/>
        <v>307</v>
      </c>
    </row>
    <row r="446" spans="2:16">
      <c r="B446" t="s">
        <v>526</v>
      </c>
      <c r="C446" t="s">
        <v>59</v>
      </c>
      <c r="D446" s="46" t="str" cm="1">
        <f t="array" ref="D446">_xlfn.XLOOKUP(C446,customers[Customer ID],customers[Gender],"")</f>
        <v>Male</v>
      </c>
      <c r="E446" s="46" cm="1">
        <f t="array" ref="E446">_xlfn.XLOOKUP(C446,customers[Customer ID],customers[Age],"")</f>
        <v>26</v>
      </c>
      <c r="F446" s="46" t="str" cm="1">
        <f t="array" ref="F446">_xlfn.XLOOKUP(C446,customers[Customer ID],customers[City],"")</f>
        <v>Cincinnati</v>
      </c>
      <c r="G446">
        <v>135</v>
      </c>
      <c r="H446" s="47" t="s">
        <v>39</v>
      </c>
      <c r="I446" s="48">
        <v>45048</v>
      </c>
      <c r="J446">
        <v>104</v>
      </c>
      <c r="K446">
        <v>4.1</v>
      </c>
      <c r="L446">
        <f>IF(MONTH(calls[[#This Row],[Date of Call]])&lt;=6,YEAR(calls[[#This Row],[Date of Call]]),YEAR(calls[[#This Row],[Date of Call]])+1)</f>
        <v>2023</v>
      </c>
      <c r="M446" t="str">
        <f>TEXT(calls[[#This Row],[Date of Call]],"DDDD")</f>
        <v>Tuesday</v>
      </c>
      <c r="N446" t="str" cm="1">
        <f t="array" ref="N44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46">
        <f>ROUND(calls[[#This Row],[Satisfaction Rating]],0)</f>
        <v>4</v>
      </c>
      <c r="P446" s="53">
        <f t="shared" si="6"/>
        <v>307</v>
      </c>
    </row>
    <row r="447" spans="2:16">
      <c r="B447" t="s">
        <v>527</v>
      </c>
      <c r="C447" t="s">
        <v>67</v>
      </c>
      <c r="D447" s="46" t="str" cm="1">
        <f t="array" ref="D447">_xlfn.XLOOKUP(C447,customers[Customer ID],customers[Gender],"")</f>
        <v>Female</v>
      </c>
      <c r="E447" s="46" cm="1">
        <f t="array" ref="E447">_xlfn.XLOOKUP(C447,customers[Customer ID],customers[Age],"")</f>
        <v>37</v>
      </c>
      <c r="F447" s="46" t="str" cm="1">
        <f t="array" ref="F447">_xlfn.XLOOKUP(C447,customers[Customer ID],customers[City],"")</f>
        <v>Cleveland</v>
      </c>
      <c r="G447">
        <v>41</v>
      </c>
      <c r="H447" s="47" t="s">
        <v>38</v>
      </c>
      <c r="I447" s="48">
        <v>45048</v>
      </c>
      <c r="J447">
        <v>123</v>
      </c>
      <c r="K447">
        <v>3.2</v>
      </c>
      <c r="L447">
        <f>IF(MONTH(calls[[#This Row],[Date of Call]])&lt;=6,YEAR(calls[[#This Row],[Date of Call]]),YEAR(calls[[#This Row],[Date of Call]])+1)</f>
        <v>2023</v>
      </c>
      <c r="M447" t="str">
        <f>TEXT(calls[[#This Row],[Date of Call]],"DDDD")</f>
        <v>Tuesday</v>
      </c>
      <c r="N447" t="str" cm="1">
        <f t="array" ref="N44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47">
        <f>ROUND(calls[[#This Row],[Satisfaction Rating]],0)</f>
        <v>3</v>
      </c>
      <c r="P447" s="53">
        <f t="shared" si="6"/>
        <v>307</v>
      </c>
    </row>
    <row r="448" spans="2:16">
      <c r="B448" t="s">
        <v>528</v>
      </c>
      <c r="C448" t="s">
        <v>70</v>
      </c>
      <c r="D448" s="46" t="str" cm="1">
        <f t="array" ref="D448">_xlfn.XLOOKUP(C448,customers[Customer ID],customers[Gender],"")</f>
        <v>Male</v>
      </c>
      <c r="E448" s="46" cm="1">
        <f t="array" ref="E448">_xlfn.XLOOKUP(C448,customers[Customer ID],customers[Age],"")</f>
        <v>37</v>
      </c>
      <c r="F448" s="46" t="str" cm="1">
        <f t="array" ref="F448">_xlfn.XLOOKUP(C448,customers[Customer ID],customers[City],"")</f>
        <v>Columbus</v>
      </c>
      <c r="G448">
        <v>35</v>
      </c>
      <c r="H448" s="47" t="s">
        <v>39</v>
      </c>
      <c r="I448" s="48">
        <v>45049</v>
      </c>
      <c r="J448">
        <v>215</v>
      </c>
      <c r="K448">
        <v>4.3</v>
      </c>
      <c r="L448">
        <f>IF(MONTH(calls[[#This Row],[Date of Call]])&lt;=6,YEAR(calls[[#This Row],[Date of Call]]),YEAR(calls[[#This Row],[Date of Call]])+1)</f>
        <v>2023</v>
      </c>
      <c r="M448" t="str">
        <f>TEXT(calls[[#This Row],[Date of Call]],"DDDD")</f>
        <v>Wednesday</v>
      </c>
      <c r="N448" t="str" cm="1">
        <f t="array" ref="N44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48">
        <f>ROUND(calls[[#This Row],[Satisfaction Rating]],0)</f>
        <v>4</v>
      </c>
      <c r="P448" s="53">
        <f t="shared" si="6"/>
        <v>307</v>
      </c>
    </row>
    <row r="449" spans="2:16">
      <c r="B449" t="s">
        <v>529</v>
      </c>
      <c r="C449" t="s">
        <v>59</v>
      </c>
      <c r="D449" s="46" t="str" cm="1">
        <f t="array" ref="D449">_xlfn.XLOOKUP(C449,customers[Customer ID],customers[Gender],"")</f>
        <v>Male</v>
      </c>
      <c r="E449" s="46" cm="1">
        <f t="array" ref="E449">_xlfn.XLOOKUP(C449,customers[Customer ID],customers[Age],"")</f>
        <v>26</v>
      </c>
      <c r="F449" s="46" t="str" cm="1">
        <f t="array" ref="F449">_xlfn.XLOOKUP(C449,customers[Customer ID],customers[City],"")</f>
        <v>Cincinnati</v>
      </c>
      <c r="G449">
        <v>96</v>
      </c>
      <c r="H449" s="47" t="s">
        <v>37</v>
      </c>
      <c r="I449" s="48">
        <v>45049</v>
      </c>
      <c r="J449">
        <v>46</v>
      </c>
      <c r="K449">
        <v>0.7</v>
      </c>
      <c r="L449">
        <f>IF(MONTH(calls[[#This Row],[Date of Call]])&lt;=6,YEAR(calls[[#This Row],[Date of Call]]),YEAR(calls[[#This Row],[Date of Call]])+1)</f>
        <v>2023</v>
      </c>
      <c r="M449" t="str">
        <f>TEXT(calls[[#This Row],[Date of Call]],"DDDD")</f>
        <v>Wednesday</v>
      </c>
      <c r="N449" t="str" cm="1">
        <f t="array" ref="N44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49">
        <f>ROUND(calls[[#This Row],[Satisfaction Rating]],0)</f>
        <v>1</v>
      </c>
      <c r="P449" s="53">
        <f t="shared" si="6"/>
        <v>307</v>
      </c>
    </row>
    <row r="450" spans="2:16">
      <c r="B450" t="s">
        <v>530</v>
      </c>
      <c r="C450" t="s">
        <v>72</v>
      </c>
      <c r="D450" s="46" t="str" cm="1">
        <f t="array" ref="D450">_xlfn.XLOOKUP(C450,customers[Customer ID],customers[Gender],"")</f>
        <v>Female</v>
      </c>
      <c r="E450" s="46" cm="1">
        <f t="array" ref="E450">_xlfn.XLOOKUP(C450,customers[Customer ID],customers[Age],"")</f>
        <v>25</v>
      </c>
      <c r="F450" s="46" t="str" cm="1">
        <f t="array" ref="F450">_xlfn.XLOOKUP(C450,customers[Customer ID],customers[City],"")</f>
        <v>Columbus</v>
      </c>
      <c r="G450">
        <v>61</v>
      </c>
      <c r="H450" s="47" t="s">
        <v>38</v>
      </c>
      <c r="I450" s="48">
        <v>45049</v>
      </c>
      <c r="J450">
        <v>115</v>
      </c>
      <c r="K450">
        <v>3.7</v>
      </c>
      <c r="L450">
        <f>IF(MONTH(calls[[#This Row],[Date of Call]])&lt;=6,YEAR(calls[[#This Row],[Date of Call]]),YEAR(calls[[#This Row],[Date of Call]])+1)</f>
        <v>2023</v>
      </c>
      <c r="M450" t="str">
        <f>TEXT(calls[[#This Row],[Date of Call]],"DDDD")</f>
        <v>Wednesday</v>
      </c>
      <c r="N450" t="str" cm="1">
        <f t="array" ref="N45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50">
        <f>ROUND(calls[[#This Row],[Satisfaction Rating]],0)</f>
        <v>4</v>
      </c>
      <c r="P450" s="53">
        <f t="shared" si="6"/>
        <v>307</v>
      </c>
    </row>
    <row r="451" spans="2:16">
      <c r="B451" t="s">
        <v>531</v>
      </c>
      <c r="C451" t="s">
        <v>59</v>
      </c>
      <c r="D451" s="46" t="str" cm="1">
        <f t="array" ref="D451">_xlfn.XLOOKUP(C451,customers[Customer ID],customers[Gender],"")</f>
        <v>Male</v>
      </c>
      <c r="E451" s="46" cm="1">
        <f t="array" ref="E451">_xlfn.XLOOKUP(C451,customers[Customer ID],customers[Age],"")</f>
        <v>26</v>
      </c>
      <c r="F451" s="46" t="str" cm="1">
        <f t="array" ref="F451">_xlfn.XLOOKUP(C451,customers[Customer ID],customers[City],"")</f>
        <v>Cincinnati</v>
      </c>
      <c r="G451">
        <v>91</v>
      </c>
      <c r="H451" s="47" t="s">
        <v>38</v>
      </c>
      <c r="I451" s="48">
        <v>45049</v>
      </c>
      <c r="J451">
        <v>124</v>
      </c>
      <c r="K451">
        <v>3.9</v>
      </c>
      <c r="L451">
        <f>IF(MONTH(calls[[#This Row],[Date of Call]])&lt;=6,YEAR(calls[[#This Row],[Date of Call]]),YEAR(calls[[#This Row],[Date of Call]])+1)</f>
        <v>2023</v>
      </c>
      <c r="M451" t="str">
        <f>TEXT(calls[[#This Row],[Date of Call]],"DDDD")</f>
        <v>Wednesday</v>
      </c>
      <c r="N451" t="str" cm="1">
        <f t="array" ref="N45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51">
        <f>ROUND(calls[[#This Row],[Satisfaction Rating]],0)</f>
        <v>4</v>
      </c>
      <c r="P451" s="53">
        <f t="shared" si="6"/>
        <v>307</v>
      </c>
    </row>
    <row r="452" spans="2:16">
      <c r="B452" t="s">
        <v>532</v>
      </c>
      <c r="C452" t="s">
        <v>69</v>
      </c>
      <c r="D452" s="46" t="str" cm="1">
        <f t="array" ref="D452">_xlfn.XLOOKUP(C452,customers[Customer ID],customers[Gender],"")</f>
        <v>Male</v>
      </c>
      <c r="E452" s="46" cm="1">
        <f t="array" ref="E452">_xlfn.XLOOKUP(C452,customers[Customer ID],customers[Age],"")</f>
        <v>41</v>
      </c>
      <c r="F452" s="46" t="str" cm="1">
        <f t="array" ref="F452">_xlfn.XLOOKUP(C452,customers[Customer ID],customers[City],"")</f>
        <v>Columbus</v>
      </c>
      <c r="G452">
        <v>30</v>
      </c>
      <c r="H452" s="47" t="s">
        <v>38</v>
      </c>
      <c r="I452" s="48">
        <v>45050</v>
      </c>
      <c r="J452">
        <v>205</v>
      </c>
      <c r="K452">
        <v>4.5</v>
      </c>
      <c r="L452">
        <f>IF(MONTH(calls[[#This Row],[Date of Call]])&lt;=6,YEAR(calls[[#This Row],[Date of Call]]),YEAR(calls[[#This Row],[Date of Call]])+1)</f>
        <v>2023</v>
      </c>
      <c r="M452" t="str">
        <f>TEXT(calls[[#This Row],[Date of Call]],"DDDD")</f>
        <v>Thursday</v>
      </c>
      <c r="N452" t="str" cm="1">
        <f t="array" ref="N452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52">
        <f>ROUND(calls[[#This Row],[Satisfaction Rating]],0)</f>
        <v>5</v>
      </c>
      <c r="P452" s="53">
        <f t="shared" ref="P452:P515" si="7">COUNTIF(O:O,5)</f>
        <v>307</v>
      </c>
    </row>
    <row r="453" spans="2:16">
      <c r="B453" t="s">
        <v>533</v>
      </c>
      <c r="C453" t="s">
        <v>65</v>
      </c>
      <c r="D453" s="46" t="str" cm="1">
        <f t="array" ref="D453">_xlfn.XLOOKUP(C453,customers[Customer ID],customers[Gender],"")</f>
        <v>Female</v>
      </c>
      <c r="E453" s="46" cm="1">
        <f t="array" ref="E453">_xlfn.XLOOKUP(C453,customers[Customer ID],customers[Age],"")</f>
        <v>42</v>
      </c>
      <c r="F453" s="46" t="str" cm="1">
        <f t="array" ref="F453">_xlfn.XLOOKUP(C453,customers[Customer ID],customers[City],"")</f>
        <v>Cleveland</v>
      </c>
      <c r="G453">
        <v>111</v>
      </c>
      <c r="H453" s="47" t="s">
        <v>36</v>
      </c>
      <c r="I453" s="48">
        <v>45050</v>
      </c>
      <c r="J453">
        <v>90</v>
      </c>
      <c r="K453">
        <v>2.8</v>
      </c>
      <c r="L453">
        <f>IF(MONTH(calls[[#This Row],[Date of Call]])&lt;=6,YEAR(calls[[#This Row],[Date of Call]]),YEAR(calls[[#This Row],[Date of Call]])+1)</f>
        <v>2023</v>
      </c>
      <c r="M453" t="str">
        <f>TEXT(calls[[#This Row],[Date of Call]],"DDDD")</f>
        <v>Thursday</v>
      </c>
      <c r="N453" t="str" cm="1">
        <f t="array" ref="N45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53">
        <f>ROUND(calls[[#This Row],[Satisfaction Rating]],0)</f>
        <v>3</v>
      </c>
      <c r="P453" s="53">
        <f t="shared" si="7"/>
        <v>307</v>
      </c>
    </row>
    <row r="454" spans="2:16">
      <c r="B454" t="s">
        <v>534</v>
      </c>
      <c r="C454" t="s">
        <v>72</v>
      </c>
      <c r="D454" s="46" t="str" cm="1">
        <f t="array" ref="D454">_xlfn.XLOOKUP(C454,customers[Customer ID],customers[Gender],"")</f>
        <v>Female</v>
      </c>
      <c r="E454" s="46" cm="1">
        <f t="array" ref="E454">_xlfn.XLOOKUP(C454,customers[Customer ID],customers[Age],"")</f>
        <v>25</v>
      </c>
      <c r="F454" s="46" t="str" cm="1">
        <f t="array" ref="F454">_xlfn.XLOOKUP(C454,customers[Customer ID],customers[City],"")</f>
        <v>Columbus</v>
      </c>
      <c r="G454">
        <v>81</v>
      </c>
      <c r="H454" s="47" t="s">
        <v>37</v>
      </c>
      <c r="I454" s="48">
        <v>45050</v>
      </c>
      <c r="J454">
        <v>92</v>
      </c>
      <c r="K454">
        <v>4.9</v>
      </c>
      <c r="L454">
        <f>IF(MONTH(calls[[#This Row],[Date of Call]])&lt;=6,YEAR(calls[[#This Row],[Date of Call]]),YEAR(calls[[#This Row],[Date of Call]])+1)</f>
        <v>2023</v>
      </c>
      <c r="M454" t="str">
        <f>TEXT(calls[[#This Row],[Date of Call]],"DDDD")</f>
        <v>Thursday</v>
      </c>
      <c r="N454" t="str" cm="1">
        <f t="array" ref="N4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54">
        <f>ROUND(calls[[#This Row],[Satisfaction Rating]],0)</f>
        <v>5</v>
      </c>
      <c r="P454" s="53">
        <f t="shared" si="7"/>
        <v>307</v>
      </c>
    </row>
    <row r="455" spans="2:16">
      <c r="B455" t="s">
        <v>535</v>
      </c>
      <c r="C455" t="s">
        <v>63</v>
      </c>
      <c r="D455" s="46" t="str" cm="1">
        <f t="array" ref="D455">_xlfn.XLOOKUP(C455,customers[Customer ID],customers[Gender],"")</f>
        <v>Male</v>
      </c>
      <c r="E455" s="46" cm="1">
        <f t="array" ref="E455">_xlfn.XLOOKUP(C455,customers[Customer ID],customers[Age],"")</f>
        <v>31</v>
      </c>
      <c r="F455" s="46" t="str" cm="1">
        <f t="array" ref="F455">_xlfn.XLOOKUP(C455,customers[Customer ID],customers[City],"")</f>
        <v>Cleveland</v>
      </c>
      <c r="G455">
        <v>40</v>
      </c>
      <c r="H455" s="47" t="s">
        <v>39</v>
      </c>
      <c r="I455" s="48">
        <v>45052</v>
      </c>
      <c r="J455">
        <v>108</v>
      </c>
      <c r="K455">
        <v>4.2</v>
      </c>
      <c r="L455">
        <f>IF(MONTH(calls[[#This Row],[Date of Call]])&lt;=6,YEAR(calls[[#This Row],[Date of Call]]),YEAR(calls[[#This Row],[Date of Call]])+1)</f>
        <v>2023</v>
      </c>
      <c r="M455" t="str">
        <f>TEXT(calls[[#This Row],[Date of Call]],"DDDD")</f>
        <v>Saturday</v>
      </c>
      <c r="N455" t="str" cm="1">
        <f t="array" ref="N45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55">
        <f>ROUND(calls[[#This Row],[Satisfaction Rating]],0)</f>
        <v>4</v>
      </c>
      <c r="P455" s="53">
        <f t="shared" si="7"/>
        <v>307</v>
      </c>
    </row>
    <row r="456" spans="2:16">
      <c r="B456" t="s">
        <v>536</v>
      </c>
      <c r="C456" t="s">
        <v>65</v>
      </c>
      <c r="D456" s="46" t="str" cm="1">
        <f t="array" ref="D456">_xlfn.XLOOKUP(C456,customers[Customer ID],customers[Gender],"")</f>
        <v>Female</v>
      </c>
      <c r="E456" s="46" cm="1">
        <f t="array" ref="E456">_xlfn.XLOOKUP(C456,customers[Customer ID],customers[Age],"")</f>
        <v>42</v>
      </c>
      <c r="F456" s="46" t="str" cm="1">
        <f t="array" ref="F456">_xlfn.XLOOKUP(C456,customers[Customer ID],customers[City],"")</f>
        <v>Cleveland</v>
      </c>
      <c r="G456">
        <v>143</v>
      </c>
      <c r="H456" s="47" t="s">
        <v>39</v>
      </c>
      <c r="I456" s="48">
        <v>45052</v>
      </c>
      <c r="J456">
        <v>54</v>
      </c>
      <c r="K456">
        <v>4.4</v>
      </c>
      <c r="L456">
        <f>IF(MONTH(calls[[#This Row],[Date of Call]])&lt;=6,YEAR(calls[[#This Row],[Date of Call]]),YEAR(calls[[#This Row],[Date of Call]])+1)</f>
        <v>2023</v>
      </c>
      <c r="M456" t="str">
        <f>TEXT(calls[[#This Row],[Date of Call]],"DDDD")</f>
        <v>Saturday</v>
      </c>
      <c r="N456" t="str" cm="1">
        <f t="array" ref="N45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56">
        <f>ROUND(calls[[#This Row],[Satisfaction Rating]],0)</f>
        <v>4</v>
      </c>
      <c r="P456" s="53">
        <f t="shared" si="7"/>
        <v>307</v>
      </c>
    </row>
    <row r="457" spans="2:16">
      <c r="B457" t="s">
        <v>537</v>
      </c>
      <c r="C457" t="s">
        <v>63</v>
      </c>
      <c r="D457" s="46" t="str" cm="1">
        <f t="array" ref="D457">_xlfn.XLOOKUP(C457,customers[Customer ID],customers[Gender],"")</f>
        <v>Male</v>
      </c>
      <c r="E457" s="46" cm="1">
        <f t="array" ref="E457">_xlfn.XLOOKUP(C457,customers[Customer ID],customers[Age],"")</f>
        <v>31</v>
      </c>
      <c r="F457" s="46" t="str" cm="1">
        <f t="array" ref="F457">_xlfn.XLOOKUP(C457,customers[Customer ID],customers[City],"")</f>
        <v>Cleveland</v>
      </c>
      <c r="G457">
        <v>70</v>
      </c>
      <c r="H457" s="47" t="s">
        <v>39</v>
      </c>
      <c r="I457" s="48">
        <v>45053</v>
      </c>
      <c r="J457">
        <v>44</v>
      </c>
      <c r="K457">
        <v>3.5</v>
      </c>
      <c r="L457">
        <f>IF(MONTH(calls[[#This Row],[Date of Call]])&lt;=6,YEAR(calls[[#This Row],[Date of Call]]),YEAR(calls[[#This Row],[Date of Call]])+1)</f>
        <v>2023</v>
      </c>
      <c r="M457" t="str">
        <f>TEXT(calls[[#This Row],[Date of Call]],"DDDD")</f>
        <v>Sunday</v>
      </c>
      <c r="N457" t="str" cm="1">
        <f t="array" ref="N45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57">
        <f>ROUND(calls[[#This Row],[Satisfaction Rating]],0)</f>
        <v>4</v>
      </c>
      <c r="P457" s="53">
        <f t="shared" si="7"/>
        <v>307</v>
      </c>
    </row>
    <row r="458" spans="2:16">
      <c r="B458" t="s">
        <v>538</v>
      </c>
      <c r="C458" t="s">
        <v>68</v>
      </c>
      <c r="D458" s="46" t="str" cm="1">
        <f t="array" ref="D458">_xlfn.XLOOKUP(C458,customers[Customer ID],customers[Gender],"")</f>
        <v>Female</v>
      </c>
      <c r="E458" s="46" cm="1">
        <f t="array" ref="E458">_xlfn.XLOOKUP(C458,customers[Customer ID],customers[Age],"")</f>
        <v>43</v>
      </c>
      <c r="F458" s="46" t="str" cm="1">
        <f t="array" ref="F458">_xlfn.XLOOKUP(C458,customers[Customer ID],customers[City],"")</f>
        <v>Cleveland</v>
      </c>
      <c r="G458">
        <v>137</v>
      </c>
      <c r="H458" s="47" t="s">
        <v>39</v>
      </c>
      <c r="I458" s="48">
        <v>45053</v>
      </c>
      <c r="J458">
        <v>44</v>
      </c>
      <c r="K458">
        <v>4.7</v>
      </c>
      <c r="L458">
        <f>IF(MONTH(calls[[#This Row],[Date of Call]])&lt;=6,YEAR(calls[[#This Row],[Date of Call]]),YEAR(calls[[#This Row],[Date of Call]])+1)</f>
        <v>2023</v>
      </c>
      <c r="M458" t="str">
        <f>TEXT(calls[[#This Row],[Date of Call]],"DDDD")</f>
        <v>Sunday</v>
      </c>
      <c r="N458" t="str" cm="1">
        <f t="array" ref="N45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58">
        <f>ROUND(calls[[#This Row],[Satisfaction Rating]],0)</f>
        <v>5</v>
      </c>
      <c r="P458" s="53">
        <f t="shared" si="7"/>
        <v>307</v>
      </c>
    </row>
    <row r="459" spans="2:16">
      <c r="B459" t="s">
        <v>539</v>
      </c>
      <c r="C459" t="s">
        <v>59</v>
      </c>
      <c r="D459" s="46" t="str" cm="1">
        <f t="array" ref="D459">_xlfn.XLOOKUP(C459,customers[Customer ID],customers[Gender],"")</f>
        <v>Male</v>
      </c>
      <c r="E459" s="46" cm="1">
        <f t="array" ref="E459">_xlfn.XLOOKUP(C459,customers[Customer ID],customers[Age],"")</f>
        <v>26</v>
      </c>
      <c r="F459" s="46" t="str" cm="1">
        <f t="array" ref="F459">_xlfn.XLOOKUP(C459,customers[Customer ID],customers[City],"")</f>
        <v>Cincinnati</v>
      </c>
      <c r="G459">
        <v>52</v>
      </c>
      <c r="H459" s="47" t="s">
        <v>37</v>
      </c>
      <c r="I459" s="48">
        <v>45054</v>
      </c>
      <c r="J459">
        <v>37</v>
      </c>
      <c r="K459">
        <v>4.9</v>
      </c>
      <c r="L459">
        <f>IF(MONTH(calls[[#This Row],[Date of Call]])&lt;=6,YEAR(calls[[#This Row],[Date of Call]]),YEAR(calls[[#This Row],[Date of Call]])+1)</f>
        <v>2023</v>
      </c>
      <c r="M459" t="str">
        <f>TEXT(calls[[#This Row],[Date of Call]],"DDDD")</f>
        <v>Monday</v>
      </c>
      <c r="N459" t="str" cm="1">
        <f t="array" ref="N45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59">
        <f>ROUND(calls[[#This Row],[Satisfaction Rating]],0)</f>
        <v>5</v>
      </c>
      <c r="P459" s="53">
        <f t="shared" si="7"/>
        <v>307</v>
      </c>
    </row>
    <row r="460" spans="2:16">
      <c r="B460" t="s">
        <v>540</v>
      </c>
      <c r="C460" t="s">
        <v>60</v>
      </c>
      <c r="D460" s="46" t="str" cm="1">
        <f t="array" ref="D460">_xlfn.XLOOKUP(C460,customers[Customer ID],customers[Gender],"")</f>
        <v>Male</v>
      </c>
      <c r="E460" s="46" cm="1">
        <f t="array" ref="E460">_xlfn.XLOOKUP(C460,customers[Customer ID],customers[Age],"")</f>
        <v>36</v>
      </c>
      <c r="F460" s="46" t="str" cm="1">
        <f t="array" ref="F460">_xlfn.XLOOKUP(C460,customers[Customer ID],customers[City],"")</f>
        <v>Cincinnati</v>
      </c>
      <c r="G460">
        <v>31</v>
      </c>
      <c r="H460" s="47" t="s">
        <v>36</v>
      </c>
      <c r="I460" s="48">
        <v>45054</v>
      </c>
      <c r="J460">
        <v>180</v>
      </c>
      <c r="K460">
        <v>4.5</v>
      </c>
      <c r="L460">
        <f>IF(MONTH(calls[[#This Row],[Date of Call]])&lt;=6,YEAR(calls[[#This Row],[Date of Call]]),YEAR(calls[[#This Row],[Date of Call]])+1)</f>
        <v>2023</v>
      </c>
      <c r="M460" t="str">
        <f>TEXT(calls[[#This Row],[Date of Call]],"DDDD")</f>
        <v>Monday</v>
      </c>
      <c r="N460" t="str" cm="1">
        <f t="array" ref="N46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60">
        <f>ROUND(calls[[#This Row],[Satisfaction Rating]],0)</f>
        <v>5</v>
      </c>
      <c r="P460" s="53">
        <f t="shared" si="7"/>
        <v>307</v>
      </c>
    </row>
    <row r="461" spans="2:16">
      <c r="B461" t="s">
        <v>541</v>
      </c>
      <c r="C461" t="s">
        <v>59</v>
      </c>
      <c r="D461" s="46" t="str" cm="1">
        <f t="array" ref="D461">_xlfn.XLOOKUP(C461,customers[Customer ID],customers[Gender],"")</f>
        <v>Male</v>
      </c>
      <c r="E461" s="46" cm="1">
        <f t="array" ref="E461">_xlfn.XLOOKUP(C461,customers[Customer ID],customers[Age],"")</f>
        <v>26</v>
      </c>
      <c r="F461" s="46" t="str" cm="1">
        <f t="array" ref="F461">_xlfn.XLOOKUP(C461,customers[Customer ID],customers[City],"")</f>
        <v>Cincinnati</v>
      </c>
      <c r="G461">
        <v>114</v>
      </c>
      <c r="H461" s="47" t="s">
        <v>38</v>
      </c>
      <c r="I461" s="48">
        <v>45054</v>
      </c>
      <c r="J461">
        <v>105</v>
      </c>
      <c r="K461">
        <v>4.9</v>
      </c>
      <c r="L461">
        <f>IF(MONTH(calls[[#This Row],[Date of Call]])&lt;=6,YEAR(calls[[#This Row],[Date of Call]]),YEAR(calls[[#This Row],[Date of Call]])+1)</f>
        <v>2023</v>
      </c>
      <c r="M461" t="str">
        <f>TEXT(calls[[#This Row],[Date of Call]],"DDDD")</f>
        <v>Monday</v>
      </c>
      <c r="N461" t="str" cm="1">
        <f t="array" ref="N46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61">
        <f>ROUND(calls[[#This Row],[Satisfaction Rating]],0)</f>
        <v>5</v>
      </c>
      <c r="P461" s="53">
        <f t="shared" si="7"/>
        <v>307</v>
      </c>
    </row>
    <row r="462" spans="2:16">
      <c r="B462" t="s">
        <v>542</v>
      </c>
      <c r="C462" t="s">
        <v>68</v>
      </c>
      <c r="D462" s="46" t="str" cm="1">
        <f t="array" ref="D462">_xlfn.XLOOKUP(C462,customers[Customer ID],customers[Gender],"")</f>
        <v>Female</v>
      </c>
      <c r="E462" s="46" cm="1">
        <f t="array" ref="E462">_xlfn.XLOOKUP(C462,customers[Customer ID],customers[Age],"")</f>
        <v>43</v>
      </c>
      <c r="F462" s="46" t="str" cm="1">
        <f t="array" ref="F462">_xlfn.XLOOKUP(C462,customers[Customer ID],customers[City],"")</f>
        <v>Cleveland</v>
      </c>
      <c r="G462">
        <v>73</v>
      </c>
      <c r="H462" s="47" t="s">
        <v>40</v>
      </c>
      <c r="I462" s="48">
        <v>45054</v>
      </c>
      <c r="J462">
        <v>87</v>
      </c>
      <c r="K462">
        <v>3.6</v>
      </c>
      <c r="L462">
        <f>IF(MONTH(calls[[#This Row],[Date of Call]])&lt;=6,YEAR(calls[[#This Row],[Date of Call]]),YEAR(calls[[#This Row],[Date of Call]])+1)</f>
        <v>2023</v>
      </c>
      <c r="M462" t="str">
        <f>TEXT(calls[[#This Row],[Date of Call]],"DDDD")</f>
        <v>Monday</v>
      </c>
      <c r="N462" t="str" cm="1">
        <f t="array" ref="N4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62">
        <f>ROUND(calls[[#This Row],[Satisfaction Rating]],0)</f>
        <v>4</v>
      </c>
      <c r="P462" s="53">
        <f t="shared" si="7"/>
        <v>307</v>
      </c>
    </row>
    <row r="463" spans="2:16">
      <c r="B463" t="s">
        <v>543</v>
      </c>
      <c r="C463" t="s">
        <v>72</v>
      </c>
      <c r="D463" s="46" t="str" cm="1">
        <f t="array" ref="D463">_xlfn.XLOOKUP(C463,customers[Customer ID],customers[Gender],"")</f>
        <v>Female</v>
      </c>
      <c r="E463" s="46" cm="1">
        <f t="array" ref="E463">_xlfn.XLOOKUP(C463,customers[Customer ID],customers[Age],"")</f>
        <v>25</v>
      </c>
      <c r="F463" s="46" t="str" cm="1">
        <f t="array" ref="F463">_xlfn.XLOOKUP(C463,customers[Customer ID],customers[City],"")</f>
        <v>Columbus</v>
      </c>
      <c r="G463">
        <v>25</v>
      </c>
      <c r="H463" s="47" t="s">
        <v>36</v>
      </c>
      <c r="I463" s="48">
        <v>45054</v>
      </c>
      <c r="J463">
        <v>52</v>
      </c>
      <c r="K463">
        <v>3.8</v>
      </c>
      <c r="L463">
        <f>IF(MONTH(calls[[#This Row],[Date of Call]])&lt;=6,YEAR(calls[[#This Row],[Date of Call]]),YEAR(calls[[#This Row],[Date of Call]])+1)</f>
        <v>2023</v>
      </c>
      <c r="M463" t="str">
        <f>TEXT(calls[[#This Row],[Date of Call]],"DDDD")</f>
        <v>Monday</v>
      </c>
      <c r="N463" t="str" cm="1">
        <f t="array" ref="N46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63">
        <f>ROUND(calls[[#This Row],[Satisfaction Rating]],0)</f>
        <v>4</v>
      </c>
      <c r="P463" s="53">
        <f t="shared" si="7"/>
        <v>307</v>
      </c>
    </row>
    <row r="464" spans="2:16">
      <c r="B464" t="s">
        <v>544</v>
      </c>
      <c r="C464" t="s">
        <v>61</v>
      </c>
      <c r="D464" s="46" t="str" cm="1">
        <f t="array" ref="D464">_xlfn.XLOOKUP(C464,customers[Customer ID],customers[Gender],"")</f>
        <v>Female</v>
      </c>
      <c r="E464" s="46" cm="1">
        <f t="array" ref="E464">_xlfn.XLOOKUP(C464,customers[Customer ID],customers[Age],"")</f>
        <v>30</v>
      </c>
      <c r="F464" s="46" t="str" cm="1">
        <f t="array" ref="F464">_xlfn.XLOOKUP(C464,customers[Customer ID],customers[City],"")</f>
        <v>Cincinnati</v>
      </c>
      <c r="G464">
        <v>44</v>
      </c>
      <c r="H464" s="47" t="s">
        <v>38</v>
      </c>
      <c r="I464" s="48">
        <v>45054</v>
      </c>
      <c r="J464">
        <v>63</v>
      </c>
      <c r="K464">
        <v>3.5</v>
      </c>
      <c r="L464">
        <f>IF(MONTH(calls[[#This Row],[Date of Call]])&lt;=6,YEAR(calls[[#This Row],[Date of Call]]),YEAR(calls[[#This Row],[Date of Call]])+1)</f>
        <v>2023</v>
      </c>
      <c r="M464" t="str">
        <f>TEXT(calls[[#This Row],[Date of Call]],"DDDD")</f>
        <v>Monday</v>
      </c>
      <c r="N464" t="str" cm="1">
        <f t="array" ref="N46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64">
        <f>ROUND(calls[[#This Row],[Satisfaction Rating]],0)</f>
        <v>4</v>
      </c>
      <c r="P464" s="53">
        <f t="shared" si="7"/>
        <v>307</v>
      </c>
    </row>
    <row r="465" spans="2:16">
      <c r="B465" t="s">
        <v>545</v>
      </c>
      <c r="C465" t="s">
        <v>71</v>
      </c>
      <c r="D465" s="46" t="str" cm="1">
        <f t="array" ref="D465">_xlfn.XLOOKUP(C465,customers[Customer ID],customers[Gender],"")</f>
        <v>Male</v>
      </c>
      <c r="E465" s="46" cm="1">
        <f t="array" ref="E465">_xlfn.XLOOKUP(C465,customers[Customer ID],customers[Age],"")</f>
        <v>23</v>
      </c>
      <c r="F465" s="46" t="str" cm="1">
        <f t="array" ref="F465">_xlfn.XLOOKUP(C465,customers[Customer ID],customers[City],"")</f>
        <v>Columbus</v>
      </c>
      <c r="G465">
        <v>34</v>
      </c>
      <c r="H465" s="47" t="s">
        <v>37</v>
      </c>
      <c r="I465" s="48">
        <v>45055</v>
      </c>
      <c r="J465">
        <v>195</v>
      </c>
      <c r="K465">
        <v>4.8</v>
      </c>
      <c r="L465">
        <f>IF(MONTH(calls[[#This Row],[Date of Call]])&lt;=6,YEAR(calls[[#This Row],[Date of Call]]),YEAR(calls[[#This Row],[Date of Call]])+1)</f>
        <v>2023</v>
      </c>
      <c r="M465" t="str">
        <f>TEXT(calls[[#This Row],[Date of Call]],"DDDD")</f>
        <v>Tuesday</v>
      </c>
      <c r="N465" t="str" cm="1">
        <f t="array" ref="N46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65">
        <f>ROUND(calls[[#This Row],[Satisfaction Rating]],0)</f>
        <v>5</v>
      </c>
      <c r="P465" s="53">
        <f t="shared" si="7"/>
        <v>307</v>
      </c>
    </row>
    <row r="466" spans="2:16">
      <c r="B466" t="s">
        <v>546</v>
      </c>
      <c r="C466" t="s">
        <v>65</v>
      </c>
      <c r="D466" s="46" t="str" cm="1">
        <f t="array" ref="D466">_xlfn.XLOOKUP(C466,customers[Customer ID],customers[Gender],"")</f>
        <v>Female</v>
      </c>
      <c r="E466" s="46" cm="1">
        <f t="array" ref="E466">_xlfn.XLOOKUP(C466,customers[Customer ID],customers[Age],"")</f>
        <v>42</v>
      </c>
      <c r="F466" s="46" t="str" cm="1">
        <f t="array" ref="F466">_xlfn.XLOOKUP(C466,customers[Customer ID],customers[City],"")</f>
        <v>Cleveland</v>
      </c>
      <c r="G466">
        <v>89</v>
      </c>
      <c r="H466" s="47" t="s">
        <v>39</v>
      </c>
      <c r="I466" s="48">
        <v>45056</v>
      </c>
      <c r="J466">
        <v>176</v>
      </c>
      <c r="K466">
        <v>4.5</v>
      </c>
      <c r="L466">
        <f>IF(MONTH(calls[[#This Row],[Date of Call]])&lt;=6,YEAR(calls[[#This Row],[Date of Call]]),YEAR(calls[[#This Row],[Date of Call]])+1)</f>
        <v>2023</v>
      </c>
      <c r="M466" t="str">
        <f>TEXT(calls[[#This Row],[Date of Call]],"DDDD")</f>
        <v>Wednesday</v>
      </c>
      <c r="N466" t="str" cm="1">
        <f t="array" ref="N46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66">
        <f>ROUND(calls[[#This Row],[Satisfaction Rating]],0)</f>
        <v>5</v>
      </c>
      <c r="P466" s="53">
        <f t="shared" si="7"/>
        <v>307</v>
      </c>
    </row>
    <row r="467" spans="2:16">
      <c r="B467" t="s">
        <v>547</v>
      </c>
      <c r="C467" t="s">
        <v>66</v>
      </c>
      <c r="D467" s="46" t="str" cm="1">
        <f t="array" ref="D467">_xlfn.XLOOKUP(C467,customers[Customer ID],customers[Gender],"")</f>
        <v>Female</v>
      </c>
      <c r="E467" s="46" cm="1">
        <f t="array" ref="E467">_xlfn.XLOOKUP(C467,customers[Customer ID],customers[Age],"")</f>
        <v>30</v>
      </c>
      <c r="F467" s="46" t="str" cm="1">
        <f t="array" ref="F467">_xlfn.XLOOKUP(C467,customers[Customer ID],customers[City],"")</f>
        <v>Cleveland</v>
      </c>
      <c r="G467">
        <v>54</v>
      </c>
      <c r="H467" s="47" t="s">
        <v>36</v>
      </c>
      <c r="I467" s="48">
        <v>45057</v>
      </c>
      <c r="J467">
        <v>31</v>
      </c>
      <c r="K467">
        <v>3.3</v>
      </c>
      <c r="L467">
        <f>IF(MONTH(calls[[#This Row],[Date of Call]])&lt;=6,YEAR(calls[[#This Row],[Date of Call]]),YEAR(calls[[#This Row],[Date of Call]])+1)</f>
        <v>2023</v>
      </c>
      <c r="M467" t="str">
        <f>TEXT(calls[[#This Row],[Date of Call]],"DDDD")</f>
        <v>Thursday</v>
      </c>
      <c r="N467" t="str" cm="1">
        <f t="array" ref="N46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67">
        <f>ROUND(calls[[#This Row],[Satisfaction Rating]],0)</f>
        <v>3</v>
      </c>
      <c r="P467" s="53">
        <f t="shared" si="7"/>
        <v>307</v>
      </c>
    </row>
    <row r="468" spans="2:16">
      <c r="B468" t="s">
        <v>548</v>
      </c>
      <c r="C468" t="s">
        <v>70</v>
      </c>
      <c r="D468" s="46" t="str" cm="1">
        <f t="array" ref="D468">_xlfn.XLOOKUP(C468,customers[Customer ID],customers[Gender],"")</f>
        <v>Male</v>
      </c>
      <c r="E468" s="46" cm="1">
        <f t="array" ref="E468">_xlfn.XLOOKUP(C468,customers[Customer ID],customers[Age],"")</f>
        <v>37</v>
      </c>
      <c r="F468" s="46" t="str" cm="1">
        <f t="array" ref="F468">_xlfn.XLOOKUP(C468,customers[Customer ID],customers[City],"")</f>
        <v>Columbus</v>
      </c>
      <c r="G468">
        <v>25</v>
      </c>
      <c r="H468" s="47" t="s">
        <v>36</v>
      </c>
      <c r="I468" s="48">
        <v>45058</v>
      </c>
      <c r="J468">
        <v>27</v>
      </c>
      <c r="K468">
        <v>3.2</v>
      </c>
      <c r="L468">
        <f>IF(MONTH(calls[[#This Row],[Date of Call]])&lt;=6,YEAR(calls[[#This Row],[Date of Call]]),YEAR(calls[[#This Row],[Date of Call]])+1)</f>
        <v>2023</v>
      </c>
      <c r="M468" t="str">
        <f>TEXT(calls[[#This Row],[Date of Call]],"DDDD")</f>
        <v>Friday</v>
      </c>
      <c r="N468" t="str" cm="1">
        <f t="array" ref="N468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68">
        <f>ROUND(calls[[#This Row],[Satisfaction Rating]],0)</f>
        <v>3</v>
      </c>
      <c r="P468" s="53">
        <f t="shared" si="7"/>
        <v>307</v>
      </c>
    </row>
    <row r="469" spans="2:16">
      <c r="B469" t="s">
        <v>549</v>
      </c>
      <c r="C469" t="s">
        <v>67</v>
      </c>
      <c r="D469" s="46" t="str" cm="1">
        <f t="array" ref="D469">_xlfn.XLOOKUP(C469,customers[Customer ID],customers[Gender],"")</f>
        <v>Female</v>
      </c>
      <c r="E469" s="46" cm="1">
        <f t="array" ref="E469">_xlfn.XLOOKUP(C469,customers[Customer ID],customers[Age],"")</f>
        <v>37</v>
      </c>
      <c r="F469" s="46" t="str" cm="1">
        <f t="array" ref="F469">_xlfn.XLOOKUP(C469,customers[Customer ID],customers[City],"")</f>
        <v>Cleveland</v>
      </c>
      <c r="G469">
        <v>91</v>
      </c>
      <c r="H469" s="47" t="s">
        <v>39</v>
      </c>
      <c r="I469" s="48">
        <v>45058</v>
      </c>
      <c r="J469">
        <v>76</v>
      </c>
      <c r="K469">
        <v>4.9</v>
      </c>
      <c r="L469">
        <f>IF(MONTH(calls[[#This Row],[Date of Call]])&lt;=6,YEAR(calls[[#This Row],[Date of Call]]),YEAR(calls[[#This Row],[Date of Call]])+1)</f>
        <v>2023</v>
      </c>
      <c r="M469" t="str">
        <f>TEXT(calls[[#This Row],[Date of Call]],"DDDD")</f>
        <v>Friday</v>
      </c>
      <c r="N469" t="str" cm="1">
        <f t="array" ref="N46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69">
        <f>ROUND(calls[[#This Row],[Satisfaction Rating]],0)</f>
        <v>5</v>
      </c>
      <c r="P469" s="53">
        <f t="shared" si="7"/>
        <v>307</v>
      </c>
    </row>
    <row r="470" spans="2:16">
      <c r="B470" t="s">
        <v>550</v>
      </c>
      <c r="C470" t="s">
        <v>61</v>
      </c>
      <c r="D470" s="46" t="str" cm="1">
        <f t="array" ref="D470">_xlfn.XLOOKUP(C470,customers[Customer ID],customers[Gender],"")</f>
        <v>Female</v>
      </c>
      <c r="E470" s="46" cm="1">
        <f t="array" ref="E470">_xlfn.XLOOKUP(C470,customers[Customer ID],customers[Age],"")</f>
        <v>30</v>
      </c>
      <c r="F470" s="46" t="str" cm="1">
        <f t="array" ref="F470">_xlfn.XLOOKUP(C470,customers[Customer ID],customers[City],"")</f>
        <v>Cincinnati</v>
      </c>
      <c r="G470">
        <v>144</v>
      </c>
      <c r="H470" s="47" t="s">
        <v>38</v>
      </c>
      <c r="I470" s="48">
        <v>45058</v>
      </c>
      <c r="J470">
        <v>62</v>
      </c>
      <c r="K470">
        <v>4.8</v>
      </c>
      <c r="L470">
        <f>IF(MONTH(calls[[#This Row],[Date of Call]])&lt;=6,YEAR(calls[[#This Row],[Date of Call]]),YEAR(calls[[#This Row],[Date of Call]])+1)</f>
        <v>2023</v>
      </c>
      <c r="M470" t="str">
        <f>TEXT(calls[[#This Row],[Date of Call]],"DDDD")</f>
        <v>Friday</v>
      </c>
      <c r="N470" t="str" cm="1">
        <f t="array" ref="N47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70">
        <f>ROUND(calls[[#This Row],[Satisfaction Rating]],0)</f>
        <v>5</v>
      </c>
      <c r="P470" s="53">
        <f t="shared" si="7"/>
        <v>307</v>
      </c>
    </row>
    <row r="471" spans="2:16">
      <c r="B471" t="s">
        <v>551</v>
      </c>
      <c r="C471" t="s">
        <v>67</v>
      </c>
      <c r="D471" s="46" t="str" cm="1">
        <f t="array" ref="D471">_xlfn.XLOOKUP(C471,customers[Customer ID],customers[Gender],"")</f>
        <v>Female</v>
      </c>
      <c r="E471" s="46" cm="1">
        <f t="array" ref="E471">_xlfn.XLOOKUP(C471,customers[Customer ID],customers[Age],"")</f>
        <v>37</v>
      </c>
      <c r="F471" s="46" t="str" cm="1">
        <f t="array" ref="F471">_xlfn.XLOOKUP(C471,customers[Customer ID],customers[City],"")</f>
        <v>Cleveland</v>
      </c>
      <c r="G471">
        <v>81</v>
      </c>
      <c r="H471" s="47" t="s">
        <v>37</v>
      </c>
      <c r="I471" s="48">
        <v>45060</v>
      </c>
      <c r="J471">
        <v>100</v>
      </c>
      <c r="K471">
        <v>1.3</v>
      </c>
      <c r="L471">
        <f>IF(MONTH(calls[[#This Row],[Date of Call]])&lt;=6,YEAR(calls[[#This Row],[Date of Call]]),YEAR(calls[[#This Row],[Date of Call]])+1)</f>
        <v>2023</v>
      </c>
      <c r="M471" t="str">
        <f>TEXT(calls[[#This Row],[Date of Call]],"DDDD")</f>
        <v>Sunday</v>
      </c>
      <c r="N471" t="str" cm="1">
        <f t="array" ref="N47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71">
        <f>ROUND(calls[[#This Row],[Satisfaction Rating]],0)</f>
        <v>1</v>
      </c>
      <c r="P471" s="53">
        <f t="shared" si="7"/>
        <v>307</v>
      </c>
    </row>
    <row r="472" spans="2:16">
      <c r="B472" t="s">
        <v>552</v>
      </c>
      <c r="C472" t="s">
        <v>69</v>
      </c>
      <c r="D472" s="46" t="str" cm="1">
        <f t="array" ref="D472">_xlfn.XLOOKUP(C472,customers[Customer ID],customers[Gender],"")</f>
        <v>Male</v>
      </c>
      <c r="E472" s="46" cm="1">
        <f t="array" ref="E472">_xlfn.XLOOKUP(C472,customers[Customer ID],customers[Age],"")</f>
        <v>41</v>
      </c>
      <c r="F472" s="46" t="str" cm="1">
        <f t="array" ref="F472">_xlfn.XLOOKUP(C472,customers[Customer ID],customers[City],"")</f>
        <v>Columbus</v>
      </c>
      <c r="G472">
        <v>92</v>
      </c>
      <c r="H472" s="47" t="s">
        <v>36</v>
      </c>
      <c r="I472" s="48">
        <v>45060</v>
      </c>
      <c r="J472">
        <v>44</v>
      </c>
      <c r="K472">
        <v>3.1</v>
      </c>
      <c r="L472">
        <f>IF(MONTH(calls[[#This Row],[Date of Call]])&lt;=6,YEAR(calls[[#This Row],[Date of Call]]),YEAR(calls[[#This Row],[Date of Call]])+1)</f>
        <v>2023</v>
      </c>
      <c r="M472" t="str">
        <f>TEXT(calls[[#This Row],[Date of Call]],"DDDD")</f>
        <v>Sunday</v>
      </c>
      <c r="N472" t="str" cm="1">
        <f t="array" ref="N4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72">
        <f>ROUND(calls[[#This Row],[Satisfaction Rating]],0)</f>
        <v>3</v>
      </c>
      <c r="P472" s="53">
        <f t="shared" si="7"/>
        <v>307</v>
      </c>
    </row>
    <row r="473" spans="2:16">
      <c r="B473" t="s">
        <v>553</v>
      </c>
      <c r="C473" t="s">
        <v>70</v>
      </c>
      <c r="D473" s="46" t="str" cm="1">
        <f t="array" ref="D473">_xlfn.XLOOKUP(C473,customers[Customer ID],customers[Gender],"")</f>
        <v>Male</v>
      </c>
      <c r="E473" s="46" cm="1">
        <f t="array" ref="E473">_xlfn.XLOOKUP(C473,customers[Customer ID],customers[Age],"")</f>
        <v>37</v>
      </c>
      <c r="F473" s="46" t="str" cm="1">
        <f t="array" ref="F473">_xlfn.XLOOKUP(C473,customers[Customer ID],customers[City],"")</f>
        <v>Columbus</v>
      </c>
      <c r="G473">
        <v>115</v>
      </c>
      <c r="H473" s="47" t="s">
        <v>39</v>
      </c>
      <c r="I473" s="48">
        <v>45060</v>
      </c>
      <c r="J473">
        <v>168</v>
      </c>
      <c r="K473">
        <v>3.4</v>
      </c>
      <c r="L473">
        <f>IF(MONTH(calls[[#This Row],[Date of Call]])&lt;=6,YEAR(calls[[#This Row],[Date of Call]]),YEAR(calls[[#This Row],[Date of Call]])+1)</f>
        <v>2023</v>
      </c>
      <c r="M473" t="str">
        <f>TEXT(calls[[#This Row],[Date of Call]],"DDDD")</f>
        <v>Sunday</v>
      </c>
      <c r="N473" t="str" cm="1">
        <f t="array" ref="N4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73">
        <f>ROUND(calls[[#This Row],[Satisfaction Rating]],0)</f>
        <v>3</v>
      </c>
      <c r="P473" s="53">
        <f t="shared" si="7"/>
        <v>307</v>
      </c>
    </row>
    <row r="474" spans="2:16">
      <c r="B474" t="s">
        <v>554</v>
      </c>
      <c r="C474" t="s">
        <v>64</v>
      </c>
      <c r="D474" s="46" t="str" cm="1">
        <f t="array" ref="D474">_xlfn.XLOOKUP(C474,customers[Customer ID],customers[Gender],"")</f>
        <v>Female</v>
      </c>
      <c r="E474" s="46" cm="1">
        <f t="array" ref="E474">_xlfn.XLOOKUP(C474,customers[Customer ID],customers[Age],"")</f>
        <v>22</v>
      </c>
      <c r="F474" s="46" t="str" cm="1">
        <f t="array" ref="F474">_xlfn.XLOOKUP(C474,customers[Customer ID],customers[City],"")</f>
        <v>Cleveland</v>
      </c>
      <c r="G474">
        <v>56</v>
      </c>
      <c r="H474" s="47" t="s">
        <v>39</v>
      </c>
      <c r="I474" s="48">
        <v>45061</v>
      </c>
      <c r="J474">
        <v>200</v>
      </c>
      <c r="K474">
        <v>4.6</v>
      </c>
      <c r="L474">
        <f>IF(MONTH(calls[[#This Row],[Date of Call]])&lt;=6,YEAR(calls[[#This Row],[Date of Call]]),YEAR(calls[[#This Row],[Date of Call]])+1)</f>
        <v>2023</v>
      </c>
      <c r="M474" t="str">
        <f>TEXT(calls[[#This Row],[Date of Call]],"DDDD")</f>
        <v>Monday</v>
      </c>
      <c r="N474" t="str" cm="1">
        <f t="array" ref="N47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74">
        <f>ROUND(calls[[#This Row],[Satisfaction Rating]],0)</f>
        <v>5</v>
      </c>
      <c r="P474" s="53">
        <f t="shared" si="7"/>
        <v>307</v>
      </c>
    </row>
    <row r="475" spans="2:16">
      <c r="B475" t="s">
        <v>555</v>
      </c>
      <c r="C475" t="s">
        <v>60</v>
      </c>
      <c r="D475" s="46" t="str" cm="1">
        <f t="array" ref="D475">_xlfn.XLOOKUP(C475,customers[Customer ID],customers[Gender],"")</f>
        <v>Male</v>
      </c>
      <c r="E475" s="46" cm="1">
        <f t="array" ref="E475">_xlfn.XLOOKUP(C475,customers[Customer ID],customers[Age],"")</f>
        <v>36</v>
      </c>
      <c r="F475" s="46" t="str" cm="1">
        <f t="array" ref="F475">_xlfn.XLOOKUP(C475,customers[Customer ID],customers[City],"")</f>
        <v>Cincinnati</v>
      </c>
      <c r="G475">
        <v>154</v>
      </c>
      <c r="H475" s="47" t="s">
        <v>36</v>
      </c>
      <c r="I475" s="48">
        <v>45061</v>
      </c>
      <c r="J475">
        <v>84</v>
      </c>
      <c r="K475">
        <v>4.3</v>
      </c>
      <c r="L475">
        <f>IF(MONTH(calls[[#This Row],[Date of Call]])&lt;=6,YEAR(calls[[#This Row],[Date of Call]]),YEAR(calls[[#This Row],[Date of Call]])+1)</f>
        <v>2023</v>
      </c>
      <c r="M475" t="str">
        <f>TEXT(calls[[#This Row],[Date of Call]],"DDDD")</f>
        <v>Monday</v>
      </c>
      <c r="N475" t="str" cm="1">
        <f t="array" ref="N47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75">
        <f>ROUND(calls[[#This Row],[Satisfaction Rating]],0)</f>
        <v>4</v>
      </c>
      <c r="P475" s="53">
        <f t="shared" si="7"/>
        <v>307</v>
      </c>
    </row>
    <row r="476" spans="2:16">
      <c r="B476" t="s">
        <v>556</v>
      </c>
      <c r="C476" t="s">
        <v>65</v>
      </c>
      <c r="D476" s="46" t="str" cm="1">
        <f t="array" ref="D476">_xlfn.XLOOKUP(C476,customers[Customer ID],customers[Gender],"")</f>
        <v>Female</v>
      </c>
      <c r="E476" s="46" cm="1">
        <f t="array" ref="E476">_xlfn.XLOOKUP(C476,customers[Customer ID],customers[Age],"")</f>
        <v>42</v>
      </c>
      <c r="F476" s="46" t="str" cm="1">
        <f t="array" ref="F476">_xlfn.XLOOKUP(C476,customers[Customer ID],customers[City],"")</f>
        <v>Cleveland</v>
      </c>
      <c r="G476">
        <v>51</v>
      </c>
      <c r="H476" s="47" t="s">
        <v>39</v>
      </c>
      <c r="I476" s="48">
        <v>45062</v>
      </c>
      <c r="J476">
        <v>117</v>
      </c>
      <c r="K476">
        <v>2.7</v>
      </c>
      <c r="L476">
        <f>IF(MONTH(calls[[#This Row],[Date of Call]])&lt;=6,YEAR(calls[[#This Row],[Date of Call]]),YEAR(calls[[#This Row],[Date of Call]])+1)</f>
        <v>2023</v>
      </c>
      <c r="M476" t="str">
        <f>TEXT(calls[[#This Row],[Date of Call]],"DDDD")</f>
        <v>Tuesday</v>
      </c>
      <c r="N476" t="str" cm="1">
        <f t="array" ref="N47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76">
        <f>ROUND(calls[[#This Row],[Satisfaction Rating]],0)</f>
        <v>3</v>
      </c>
      <c r="P476" s="53">
        <f t="shared" si="7"/>
        <v>307</v>
      </c>
    </row>
    <row r="477" spans="2:16">
      <c r="B477" t="s">
        <v>557</v>
      </c>
      <c r="C477" t="s">
        <v>71</v>
      </c>
      <c r="D477" s="46" t="str" cm="1">
        <f t="array" ref="D477">_xlfn.XLOOKUP(C477,customers[Customer ID],customers[Gender],"")</f>
        <v>Male</v>
      </c>
      <c r="E477" s="46" cm="1">
        <f t="array" ref="E477">_xlfn.XLOOKUP(C477,customers[Customer ID],customers[Age],"")</f>
        <v>23</v>
      </c>
      <c r="F477" s="46" t="str" cm="1">
        <f t="array" ref="F477">_xlfn.XLOOKUP(C477,customers[Customer ID],customers[City],"")</f>
        <v>Columbus</v>
      </c>
      <c r="G477">
        <v>21</v>
      </c>
      <c r="H477" s="47" t="s">
        <v>37</v>
      </c>
      <c r="I477" s="48">
        <v>45062</v>
      </c>
      <c r="J477">
        <v>63</v>
      </c>
      <c r="K477">
        <v>4.2</v>
      </c>
      <c r="L477">
        <f>IF(MONTH(calls[[#This Row],[Date of Call]])&lt;=6,YEAR(calls[[#This Row],[Date of Call]]),YEAR(calls[[#This Row],[Date of Call]])+1)</f>
        <v>2023</v>
      </c>
      <c r="M477" t="str">
        <f>TEXT(calls[[#This Row],[Date of Call]],"DDDD")</f>
        <v>Tuesday</v>
      </c>
      <c r="N477" t="str" cm="1">
        <f t="array" ref="N47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77">
        <f>ROUND(calls[[#This Row],[Satisfaction Rating]],0)</f>
        <v>4</v>
      </c>
      <c r="P477" s="53">
        <f t="shared" si="7"/>
        <v>307</v>
      </c>
    </row>
    <row r="478" spans="2:16">
      <c r="B478" t="s">
        <v>558</v>
      </c>
      <c r="C478" t="s">
        <v>70</v>
      </c>
      <c r="D478" s="46" t="str" cm="1">
        <f t="array" ref="D478">_xlfn.XLOOKUP(C478,customers[Customer ID],customers[Gender],"")</f>
        <v>Male</v>
      </c>
      <c r="E478" s="46" cm="1">
        <f t="array" ref="E478">_xlfn.XLOOKUP(C478,customers[Customer ID],customers[Age],"")</f>
        <v>37</v>
      </c>
      <c r="F478" s="46" t="str" cm="1">
        <f t="array" ref="F478">_xlfn.XLOOKUP(C478,customers[Customer ID],customers[City],"")</f>
        <v>Columbus</v>
      </c>
      <c r="G478">
        <v>80</v>
      </c>
      <c r="H478" s="47" t="s">
        <v>39</v>
      </c>
      <c r="I478" s="48">
        <v>45063</v>
      </c>
      <c r="J478">
        <v>145</v>
      </c>
      <c r="K478">
        <v>4.9</v>
      </c>
      <c r="L478">
        <f>IF(MONTH(calls[[#This Row],[Date of Call]])&lt;=6,YEAR(calls[[#This Row],[Date of Call]]),YEAR(calls[[#This Row],[Date of Call]])+1)</f>
        <v>2023</v>
      </c>
      <c r="M478" t="str">
        <f>TEXT(calls[[#This Row],[Date of Call]],"DDDD")</f>
        <v>Wednesday</v>
      </c>
      <c r="N478" t="str" cm="1">
        <f t="array" ref="N47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78">
        <f>ROUND(calls[[#This Row],[Satisfaction Rating]],0)</f>
        <v>5</v>
      </c>
      <c r="P478" s="53">
        <f t="shared" si="7"/>
        <v>307</v>
      </c>
    </row>
    <row r="479" spans="2:16">
      <c r="B479" t="s">
        <v>559</v>
      </c>
      <c r="C479" t="s">
        <v>65</v>
      </c>
      <c r="D479" s="46" t="str" cm="1">
        <f t="array" ref="D479">_xlfn.XLOOKUP(C479,customers[Customer ID],customers[Gender],"")</f>
        <v>Female</v>
      </c>
      <c r="E479" s="46" cm="1">
        <f t="array" ref="E479">_xlfn.XLOOKUP(C479,customers[Customer ID],customers[Age],"")</f>
        <v>42</v>
      </c>
      <c r="F479" s="46" t="str" cm="1">
        <f t="array" ref="F479">_xlfn.XLOOKUP(C479,customers[Customer ID],customers[City],"")</f>
        <v>Cleveland</v>
      </c>
      <c r="G479">
        <v>139</v>
      </c>
      <c r="H479" s="47" t="s">
        <v>36</v>
      </c>
      <c r="I479" s="48">
        <v>45063</v>
      </c>
      <c r="J479">
        <v>220</v>
      </c>
      <c r="K479">
        <v>3.2</v>
      </c>
      <c r="L479">
        <f>IF(MONTH(calls[[#This Row],[Date of Call]])&lt;=6,YEAR(calls[[#This Row],[Date of Call]]),YEAR(calls[[#This Row],[Date of Call]])+1)</f>
        <v>2023</v>
      </c>
      <c r="M479" t="str">
        <f>TEXT(calls[[#This Row],[Date of Call]],"DDDD")</f>
        <v>Wednesday</v>
      </c>
      <c r="N479" t="str" cm="1">
        <f t="array" ref="N47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79">
        <f>ROUND(calls[[#This Row],[Satisfaction Rating]],0)</f>
        <v>3</v>
      </c>
      <c r="P479" s="53">
        <f t="shared" si="7"/>
        <v>307</v>
      </c>
    </row>
    <row r="480" spans="2:16">
      <c r="B480" t="s">
        <v>560</v>
      </c>
      <c r="C480" t="s">
        <v>63</v>
      </c>
      <c r="D480" s="46" t="str" cm="1">
        <f t="array" ref="D480">_xlfn.XLOOKUP(C480,customers[Customer ID],customers[Gender],"")</f>
        <v>Male</v>
      </c>
      <c r="E480" s="46" cm="1">
        <f t="array" ref="E480">_xlfn.XLOOKUP(C480,customers[Customer ID],customers[Age],"")</f>
        <v>31</v>
      </c>
      <c r="F480" s="46" t="str" cm="1">
        <f t="array" ref="F480">_xlfn.XLOOKUP(C480,customers[Customer ID],customers[City],"")</f>
        <v>Cleveland</v>
      </c>
      <c r="G480">
        <v>50</v>
      </c>
      <c r="H480" s="47" t="s">
        <v>37</v>
      </c>
      <c r="I480" s="48">
        <v>45063</v>
      </c>
      <c r="J480">
        <v>26</v>
      </c>
      <c r="K480">
        <v>4.7</v>
      </c>
      <c r="L480">
        <f>IF(MONTH(calls[[#This Row],[Date of Call]])&lt;=6,YEAR(calls[[#This Row],[Date of Call]]),YEAR(calls[[#This Row],[Date of Call]])+1)</f>
        <v>2023</v>
      </c>
      <c r="M480" t="str">
        <f>TEXT(calls[[#This Row],[Date of Call]],"DDDD")</f>
        <v>Wednesday</v>
      </c>
      <c r="N480" t="str" cm="1">
        <f t="array" ref="N48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80">
        <f>ROUND(calls[[#This Row],[Satisfaction Rating]],0)</f>
        <v>5</v>
      </c>
      <c r="P480" s="53">
        <f t="shared" si="7"/>
        <v>307</v>
      </c>
    </row>
    <row r="481" spans="2:16">
      <c r="B481" t="s">
        <v>561</v>
      </c>
      <c r="C481" t="s">
        <v>70</v>
      </c>
      <c r="D481" s="46" t="str" cm="1">
        <f t="array" ref="D481">_xlfn.XLOOKUP(C481,customers[Customer ID],customers[Gender],"")</f>
        <v>Male</v>
      </c>
      <c r="E481" s="46" cm="1">
        <f t="array" ref="E481">_xlfn.XLOOKUP(C481,customers[Customer ID],customers[Age],"")</f>
        <v>37</v>
      </c>
      <c r="F481" s="46" t="str" cm="1">
        <f t="array" ref="F481">_xlfn.XLOOKUP(C481,customers[Customer ID],customers[City],"")</f>
        <v>Columbus</v>
      </c>
      <c r="G481">
        <v>88</v>
      </c>
      <c r="H481" s="47" t="s">
        <v>39</v>
      </c>
      <c r="I481" s="48">
        <v>45063</v>
      </c>
      <c r="J481">
        <v>78</v>
      </c>
      <c r="K481">
        <v>4.3</v>
      </c>
      <c r="L481">
        <f>IF(MONTH(calls[[#This Row],[Date of Call]])&lt;=6,YEAR(calls[[#This Row],[Date of Call]]),YEAR(calls[[#This Row],[Date of Call]])+1)</f>
        <v>2023</v>
      </c>
      <c r="M481" t="str">
        <f>TEXT(calls[[#This Row],[Date of Call]],"DDDD")</f>
        <v>Wednesday</v>
      </c>
      <c r="N481" t="str" cm="1">
        <f t="array" ref="N4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81">
        <f>ROUND(calls[[#This Row],[Satisfaction Rating]],0)</f>
        <v>4</v>
      </c>
      <c r="P481" s="53">
        <f t="shared" si="7"/>
        <v>307</v>
      </c>
    </row>
    <row r="482" spans="2:16">
      <c r="B482" t="s">
        <v>562</v>
      </c>
      <c r="C482" t="s">
        <v>66</v>
      </c>
      <c r="D482" s="46" t="str" cm="1">
        <f t="array" ref="D482">_xlfn.XLOOKUP(C482,customers[Customer ID],customers[Gender],"")</f>
        <v>Female</v>
      </c>
      <c r="E482" s="46" cm="1">
        <f t="array" ref="E482">_xlfn.XLOOKUP(C482,customers[Customer ID],customers[Age],"")</f>
        <v>30</v>
      </c>
      <c r="F482" s="46" t="str" cm="1">
        <f t="array" ref="F482">_xlfn.XLOOKUP(C482,customers[Customer ID],customers[City],"")</f>
        <v>Cleveland</v>
      </c>
      <c r="G482">
        <v>19</v>
      </c>
      <c r="H482" s="47" t="s">
        <v>38</v>
      </c>
      <c r="I482" s="48">
        <v>45064</v>
      </c>
      <c r="J482">
        <v>132</v>
      </c>
      <c r="K482">
        <v>4.3</v>
      </c>
      <c r="L482">
        <f>IF(MONTH(calls[[#This Row],[Date of Call]])&lt;=6,YEAR(calls[[#This Row],[Date of Call]]),YEAR(calls[[#This Row],[Date of Call]])+1)</f>
        <v>2023</v>
      </c>
      <c r="M482" t="str">
        <f>TEXT(calls[[#This Row],[Date of Call]],"DDDD")</f>
        <v>Thursday</v>
      </c>
      <c r="N482" t="str" cm="1">
        <f t="array" ref="N482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482">
        <f>ROUND(calls[[#This Row],[Satisfaction Rating]],0)</f>
        <v>4</v>
      </c>
      <c r="P482" s="53">
        <f t="shared" si="7"/>
        <v>307</v>
      </c>
    </row>
    <row r="483" spans="2:16">
      <c r="B483" t="s">
        <v>563</v>
      </c>
      <c r="C483" t="s">
        <v>72</v>
      </c>
      <c r="D483" s="46" t="str" cm="1">
        <f t="array" ref="D483">_xlfn.XLOOKUP(C483,customers[Customer ID],customers[Gender],"")</f>
        <v>Female</v>
      </c>
      <c r="E483" s="46" cm="1">
        <f t="array" ref="E483">_xlfn.XLOOKUP(C483,customers[Customer ID],customers[Age],"")</f>
        <v>25</v>
      </c>
      <c r="F483" s="46" t="str" cm="1">
        <f t="array" ref="F483">_xlfn.XLOOKUP(C483,customers[Customer ID],customers[City],"")</f>
        <v>Columbus</v>
      </c>
      <c r="G483">
        <v>104</v>
      </c>
      <c r="H483" s="47" t="s">
        <v>38</v>
      </c>
      <c r="I483" s="48">
        <v>45065</v>
      </c>
      <c r="J483">
        <v>68</v>
      </c>
      <c r="K483">
        <v>3.7</v>
      </c>
      <c r="L483">
        <f>IF(MONTH(calls[[#This Row],[Date of Call]])&lt;=6,YEAR(calls[[#This Row],[Date of Call]]),YEAR(calls[[#This Row],[Date of Call]])+1)</f>
        <v>2023</v>
      </c>
      <c r="M483" t="str">
        <f>TEXT(calls[[#This Row],[Date of Call]],"DDDD")</f>
        <v>Friday</v>
      </c>
      <c r="N483" t="str" cm="1">
        <f t="array" ref="N4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83">
        <f>ROUND(calls[[#This Row],[Satisfaction Rating]],0)</f>
        <v>4</v>
      </c>
      <c r="P483" s="53">
        <f t="shared" si="7"/>
        <v>307</v>
      </c>
    </row>
    <row r="484" spans="2:16">
      <c r="B484" t="s">
        <v>564</v>
      </c>
      <c r="C484" t="s">
        <v>60</v>
      </c>
      <c r="D484" s="46" t="str" cm="1">
        <f t="array" ref="D484">_xlfn.XLOOKUP(C484,customers[Customer ID],customers[Gender],"")</f>
        <v>Male</v>
      </c>
      <c r="E484" s="46" cm="1">
        <f t="array" ref="E484">_xlfn.XLOOKUP(C484,customers[Customer ID],customers[Age],"")</f>
        <v>36</v>
      </c>
      <c r="F484" s="46" t="str" cm="1">
        <f t="array" ref="F484">_xlfn.XLOOKUP(C484,customers[Customer ID],customers[City],"")</f>
        <v>Cincinnati</v>
      </c>
      <c r="G484">
        <v>67</v>
      </c>
      <c r="H484" s="47" t="s">
        <v>36</v>
      </c>
      <c r="I484" s="48">
        <v>45067</v>
      </c>
      <c r="J484">
        <v>129</v>
      </c>
      <c r="K484">
        <v>4.7</v>
      </c>
      <c r="L484">
        <f>IF(MONTH(calls[[#This Row],[Date of Call]])&lt;=6,YEAR(calls[[#This Row],[Date of Call]]),YEAR(calls[[#This Row],[Date of Call]])+1)</f>
        <v>2023</v>
      </c>
      <c r="M484" t="str">
        <f>TEXT(calls[[#This Row],[Date of Call]],"DDDD")</f>
        <v>Sunday</v>
      </c>
      <c r="N484" t="str" cm="1">
        <f t="array" ref="N4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84">
        <f>ROUND(calls[[#This Row],[Satisfaction Rating]],0)</f>
        <v>5</v>
      </c>
      <c r="P484" s="53">
        <f t="shared" si="7"/>
        <v>307</v>
      </c>
    </row>
    <row r="485" spans="2:16">
      <c r="B485" t="s">
        <v>565</v>
      </c>
      <c r="C485" t="s">
        <v>62</v>
      </c>
      <c r="D485" s="46" t="str" cm="1">
        <f t="array" ref="D485">_xlfn.XLOOKUP(C485,customers[Customer ID],customers[Gender],"")</f>
        <v>Female</v>
      </c>
      <c r="E485" s="46" cm="1">
        <f t="array" ref="E485">_xlfn.XLOOKUP(C485,customers[Customer ID],customers[Age],"")</f>
        <v>28</v>
      </c>
      <c r="F485" s="46" t="str" cm="1">
        <f t="array" ref="F485">_xlfn.XLOOKUP(C485,customers[Customer ID],customers[City],"")</f>
        <v>Cincinnati</v>
      </c>
      <c r="G485">
        <v>107</v>
      </c>
      <c r="H485" s="47" t="s">
        <v>38</v>
      </c>
      <c r="I485" s="48">
        <v>45067</v>
      </c>
      <c r="J485">
        <v>115</v>
      </c>
      <c r="K485">
        <v>4.9</v>
      </c>
      <c r="L485">
        <f>IF(MONTH(calls[[#This Row],[Date of Call]])&lt;=6,YEAR(calls[[#This Row],[Date of Call]]),YEAR(calls[[#This Row],[Date of Call]])+1)</f>
        <v>2023</v>
      </c>
      <c r="M485" t="str">
        <f>TEXT(calls[[#This Row],[Date of Call]],"DDDD")</f>
        <v>Sunday</v>
      </c>
      <c r="N485" t="str" cm="1">
        <f t="array" ref="N4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85">
        <f>ROUND(calls[[#This Row],[Satisfaction Rating]],0)</f>
        <v>5</v>
      </c>
      <c r="P485" s="53">
        <f t="shared" si="7"/>
        <v>307</v>
      </c>
    </row>
    <row r="486" spans="2:16">
      <c r="B486" t="s">
        <v>566</v>
      </c>
      <c r="C486" t="s">
        <v>62</v>
      </c>
      <c r="D486" s="46" t="str" cm="1">
        <f t="array" ref="D486">_xlfn.XLOOKUP(C486,customers[Customer ID],customers[Gender],"")</f>
        <v>Female</v>
      </c>
      <c r="E486" s="46" cm="1">
        <f t="array" ref="E486">_xlfn.XLOOKUP(C486,customers[Customer ID],customers[Age],"")</f>
        <v>28</v>
      </c>
      <c r="F486" s="46" t="str" cm="1">
        <f t="array" ref="F486">_xlfn.XLOOKUP(C486,customers[Customer ID],customers[City],"")</f>
        <v>Cincinnati</v>
      </c>
      <c r="G486">
        <v>93</v>
      </c>
      <c r="H486" s="47" t="s">
        <v>38</v>
      </c>
      <c r="I486" s="48">
        <v>45067</v>
      </c>
      <c r="J486">
        <v>128</v>
      </c>
      <c r="K486">
        <v>3.9</v>
      </c>
      <c r="L486">
        <f>IF(MONTH(calls[[#This Row],[Date of Call]])&lt;=6,YEAR(calls[[#This Row],[Date of Call]]),YEAR(calls[[#This Row],[Date of Call]])+1)</f>
        <v>2023</v>
      </c>
      <c r="M486" t="str">
        <f>TEXT(calls[[#This Row],[Date of Call]],"DDDD")</f>
        <v>Sunday</v>
      </c>
      <c r="N486" t="str" cm="1">
        <f t="array" ref="N48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86">
        <f>ROUND(calls[[#This Row],[Satisfaction Rating]],0)</f>
        <v>4</v>
      </c>
      <c r="P486" s="53">
        <f t="shared" si="7"/>
        <v>307</v>
      </c>
    </row>
    <row r="487" spans="2:16">
      <c r="B487" t="s">
        <v>567</v>
      </c>
      <c r="C487" t="s">
        <v>62</v>
      </c>
      <c r="D487" s="46" t="str" cm="1">
        <f t="array" ref="D487">_xlfn.XLOOKUP(C487,customers[Customer ID],customers[Gender],"")</f>
        <v>Female</v>
      </c>
      <c r="E487" s="46" cm="1">
        <f t="array" ref="E487">_xlfn.XLOOKUP(C487,customers[Customer ID],customers[Age],"")</f>
        <v>28</v>
      </c>
      <c r="F487" s="46" t="str" cm="1">
        <f t="array" ref="F487">_xlfn.XLOOKUP(C487,customers[Customer ID],customers[City],"")</f>
        <v>Cincinnati</v>
      </c>
      <c r="G487">
        <v>117</v>
      </c>
      <c r="H487" s="47" t="s">
        <v>36</v>
      </c>
      <c r="I487" s="48">
        <v>45067</v>
      </c>
      <c r="J487">
        <v>90</v>
      </c>
      <c r="K487">
        <v>4.5</v>
      </c>
      <c r="L487">
        <f>IF(MONTH(calls[[#This Row],[Date of Call]])&lt;=6,YEAR(calls[[#This Row],[Date of Call]]),YEAR(calls[[#This Row],[Date of Call]])+1)</f>
        <v>2023</v>
      </c>
      <c r="M487" t="str">
        <f>TEXT(calls[[#This Row],[Date of Call]],"DDDD")</f>
        <v>Sunday</v>
      </c>
      <c r="N487" t="str" cm="1">
        <f t="array" ref="N4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87">
        <f>ROUND(calls[[#This Row],[Satisfaction Rating]],0)</f>
        <v>5</v>
      </c>
      <c r="P487" s="53">
        <f t="shared" si="7"/>
        <v>307</v>
      </c>
    </row>
    <row r="488" spans="2:16">
      <c r="B488" t="s">
        <v>568</v>
      </c>
      <c r="C488" t="s">
        <v>63</v>
      </c>
      <c r="D488" s="46" t="str" cm="1">
        <f t="array" ref="D488">_xlfn.XLOOKUP(C488,customers[Customer ID],customers[Gender],"")</f>
        <v>Male</v>
      </c>
      <c r="E488" s="46" cm="1">
        <f t="array" ref="E488">_xlfn.XLOOKUP(C488,customers[Customer ID],customers[Age],"")</f>
        <v>31</v>
      </c>
      <c r="F488" s="46" t="str" cm="1">
        <f t="array" ref="F488">_xlfn.XLOOKUP(C488,customers[Customer ID],customers[City],"")</f>
        <v>Cleveland</v>
      </c>
      <c r="G488">
        <v>76</v>
      </c>
      <c r="H488" s="47" t="s">
        <v>39</v>
      </c>
      <c r="I488" s="48">
        <v>45068</v>
      </c>
      <c r="J488">
        <v>39</v>
      </c>
      <c r="K488">
        <v>4.6</v>
      </c>
      <c r="L488">
        <f>IF(MONTH(calls[[#This Row],[Date of Call]])&lt;=6,YEAR(calls[[#This Row],[Date of Call]]),YEAR(calls[[#This Row],[Date of Call]])+1)</f>
        <v>2023</v>
      </c>
      <c r="M488" t="str">
        <f>TEXT(calls[[#This Row],[Date of Call]],"DDDD")</f>
        <v>Monday</v>
      </c>
      <c r="N488" t="str" cm="1">
        <f t="array" ref="N48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88">
        <f>ROUND(calls[[#This Row],[Satisfaction Rating]],0)</f>
        <v>5</v>
      </c>
      <c r="P488" s="53">
        <f t="shared" si="7"/>
        <v>307</v>
      </c>
    </row>
    <row r="489" spans="2:16">
      <c r="B489" t="s">
        <v>569</v>
      </c>
      <c r="C489" t="s">
        <v>66</v>
      </c>
      <c r="D489" s="46" t="str" cm="1">
        <f t="array" ref="D489">_xlfn.XLOOKUP(C489,customers[Customer ID],customers[Gender],"")</f>
        <v>Female</v>
      </c>
      <c r="E489" s="46" cm="1">
        <f t="array" ref="E489">_xlfn.XLOOKUP(C489,customers[Customer ID],customers[Age],"")</f>
        <v>30</v>
      </c>
      <c r="F489" s="46" t="str" cm="1">
        <f t="array" ref="F489">_xlfn.XLOOKUP(C489,customers[Customer ID],customers[City],"")</f>
        <v>Cleveland</v>
      </c>
      <c r="G489">
        <v>64</v>
      </c>
      <c r="H489" s="47" t="s">
        <v>38</v>
      </c>
      <c r="I489" s="48">
        <v>45068</v>
      </c>
      <c r="J489">
        <v>132</v>
      </c>
      <c r="K489">
        <v>3.3</v>
      </c>
      <c r="L489">
        <f>IF(MONTH(calls[[#This Row],[Date of Call]])&lt;=6,YEAR(calls[[#This Row],[Date of Call]]),YEAR(calls[[#This Row],[Date of Call]])+1)</f>
        <v>2023</v>
      </c>
      <c r="M489" t="str">
        <f>TEXT(calls[[#This Row],[Date of Call]],"DDDD")</f>
        <v>Monday</v>
      </c>
      <c r="N489" t="str" cm="1">
        <f t="array" ref="N4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89">
        <f>ROUND(calls[[#This Row],[Satisfaction Rating]],0)</f>
        <v>3</v>
      </c>
      <c r="P489" s="53">
        <f t="shared" si="7"/>
        <v>307</v>
      </c>
    </row>
    <row r="490" spans="2:16">
      <c r="B490" t="s">
        <v>570</v>
      </c>
      <c r="C490" t="s">
        <v>61</v>
      </c>
      <c r="D490" s="46" t="str" cm="1">
        <f t="array" ref="D490">_xlfn.XLOOKUP(C490,customers[Customer ID],customers[Gender],"")</f>
        <v>Female</v>
      </c>
      <c r="E490" s="46" cm="1">
        <f t="array" ref="E490">_xlfn.XLOOKUP(C490,customers[Customer ID],customers[Age],"")</f>
        <v>30</v>
      </c>
      <c r="F490" s="46" t="str" cm="1">
        <f t="array" ref="F490">_xlfn.XLOOKUP(C490,customers[Customer ID],customers[City],"")</f>
        <v>Cincinnati</v>
      </c>
      <c r="G490">
        <v>33</v>
      </c>
      <c r="H490" s="47" t="s">
        <v>38</v>
      </c>
      <c r="I490" s="48">
        <v>45068</v>
      </c>
      <c r="J490">
        <v>170</v>
      </c>
      <c r="K490">
        <v>3.8</v>
      </c>
      <c r="L490">
        <f>IF(MONTH(calls[[#This Row],[Date of Call]])&lt;=6,YEAR(calls[[#This Row],[Date of Call]]),YEAR(calls[[#This Row],[Date of Call]])+1)</f>
        <v>2023</v>
      </c>
      <c r="M490" t="str">
        <f>TEXT(calls[[#This Row],[Date of Call]],"DDDD")</f>
        <v>Monday</v>
      </c>
      <c r="N490" t="str" cm="1">
        <f t="array" ref="N49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90">
        <f>ROUND(calls[[#This Row],[Satisfaction Rating]],0)</f>
        <v>4</v>
      </c>
      <c r="P490" s="53">
        <f t="shared" si="7"/>
        <v>307</v>
      </c>
    </row>
    <row r="491" spans="2:16">
      <c r="B491" t="s">
        <v>571</v>
      </c>
      <c r="C491" t="s">
        <v>62</v>
      </c>
      <c r="D491" s="46" t="str" cm="1">
        <f t="array" ref="D491">_xlfn.XLOOKUP(C491,customers[Customer ID],customers[Gender],"")</f>
        <v>Female</v>
      </c>
      <c r="E491" s="46" cm="1">
        <f t="array" ref="E491">_xlfn.XLOOKUP(C491,customers[Customer ID],customers[Age],"")</f>
        <v>28</v>
      </c>
      <c r="F491" s="46" t="str" cm="1">
        <f t="array" ref="F491">_xlfn.XLOOKUP(C491,customers[Customer ID],customers[City],"")</f>
        <v>Cincinnati</v>
      </c>
      <c r="G491">
        <v>115</v>
      </c>
      <c r="H491" s="47" t="s">
        <v>36</v>
      </c>
      <c r="I491" s="48">
        <v>45068</v>
      </c>
      <c r="J491">
        <v>42</v>
      </c>
      <c r="K491">
        <v>4.7</v>
      </c>
      <c r="L491">
        <f>IF(MONTH(calls[[#This Row],[Date of Call]])&lt;=6,YEAR(calls[[#This Row],[Date of Call]]),YEAR(calls[[#This Row],[Date of Call]])+1)</f>
        <v>2023</v>
      </c>
      <c r="M491" t="str">
        <f>TEXT(calls[[#This Row],[Date of Call]],"DDDD")</f>
        <v>Monday</v>
      </c>
      <c r="N491" t="str" cm="1">
        <f t="array" ref="N4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91">
        <f>ROUND(calls[[#This Row],[Satisfaction Rating]],0)</f>
        <v>5</v>
      </c>
      <c r="P491" s="53">
        <f t="shared" si="7"/>
        <v>307</v>
      </c>
    </row>
    <row r="492" spans="2:16">
      <c r="B492" t="s">
        <v>572</v>
      </c>
      <c r="C492" t="s">
        <v>73</v>
      </c>
      <c r="D492" s="46" t="str" cm="1">
        <f t="array" ref="D492">_xlfn.XLOOKUP(C492,customers[Customer ID],customers[Gender],"")</f>
        <v>Female</v>
      </c>
      <c r="E492" s="46" cm="1">
        <f t="array" ref="E492">_xlfn.XLOOKUP(C492,customers[Customer ID],customers[Age],"")</f>
        <v>38</v>
      </c>
      <c r="F492" s="46" t="str" cm="1">
        <f t="array" ref="F492">_xlfn.XLOOKUP(C492,customers[Customer ID],customers[City],"")</f>
        <v>Columbus</v>
      </c>
      <c r="G492">
        <v>155</v>
      </c>
      <c r="H492" s="47" t="s">
        <v>39</v>
      </c>
      <c r="I492" s="48">
        <v>45069</v>
      </c>
      <c r="J492">
        <v>37</v>
      </c>
      <c r="K492">
        <v>4</v>
      </c>
      <c r="L492">
        <f>IF(MONTH(calls[[#This Row],[Date of Call]])&lt;=6,YEAR(calls[[#This Row],[Date of Call]]),YEAR(calls[[#This Row],[Date of Call]])+1)</f>
        <v>2023</v>
      </c>
      <c r="M492" t="str">
        <f>TEXT(calls[[#This Row],[Date of Call]],"DDDD")</f>
        <v>Tuesday</v>
      </c>
      <c r="N492" t="str" cm="1">
        <f t="array" ref="N49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92">
        <f>ROUND(calls[[#This Row],[Satisfaction Rating]],0)</f>
        <v>4</v>
      </c>
      <c r="P492" s="53">
        <f t="shared" si="7"/>
        <v>307</v>
      </c>
    </row>
    <row r="493" spans="2:16">
      <c r="B493" t="s">
        <v>573</v>
      </c>
      <c r="C493" t="s">
        <v>60</v>
      </c>
      <c r="D493" s="46" t="str" cm="1">
        <f t="array" ref="D493">_xlfn.XLOOKUP(C493,customers[Customer ID],customers[Gender],"")</f>
        <v>Male</v>
      </c>
      <c r="E493" s="46" cm="1">
        <f t="array" ref="E493">_xlfn.XLOOKUP(C493,customers[Customer ID],customers[Age],"")</f>
        <v>36</v>
      </c>
      <c r="F493" s="46" t="str" cm="1">
        <f t="array" ref="F493">_xlfn.XLOOKUP(C493,customers[Customer ID],customers[City],"")</f>
        <v>Cincinnati</v>
      </c>
      <c r="G493">
        <v>117</v>
      </c>
      <c r="H493" s="47" t="s">
        <v>39</v>
      </c>
      <c r="I493" s="48">
        <v>45069</v>
      </c>
      <c r="J493">
        <v>88</v>
      </c>
      <c r="K493">
        <v>4.7</v>
      </c>
      <c r="L493">
        <f>IF(MONTH(calls[[#This Row],[Date of Call]])&lt;=6,YEAR(calls[[#This Row],[Date of Call]]),YEAR(calls[[#This Row],[Date of Call]])+1)</f>
        <v>2023</v>
      </c>
      <c r="M493" t="str">
        <f>TEXT(calls[[#This Row],[Date of Call]],"DDDD")</f>
        <v>Tuesday</v>
      </c>
      <c r="N493" t="str" cm="1">
        <f t="array" ref="N4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93">
        <f>ROUND(calls[[#This Row],[Satisfaction Rating]],0)</f>
        <v>5</v>
      </c>
      <c r="P493" s="53">
        <f t="shared" si="7"/>
        <v>307</v>
      </c>
    </row>
    <row r="494" spans="2:16">
      <c r="B494" t="s">
        <v>574</v>
      </c>
      <c r="C494" t="s">
        <v>65</v>
      </c>
      <c r="D494" s="46" t="str" cm="1">
        <f t="array" ref="D494">_xlfn.XLOOKUP(C494,customers[Customer ID],customers[Gender],"")</f>
        <v>Female</v>
      </c>
      <c r="E494" s="46" cm="1">
        <f t="array" ref="E494">_xlfn.XLOOKUP(C494,customers[Customer ID],customers[Age],"")</f>
        <v>42</v>
      </c>
      <c r="F494" s="46" t="str" cm="1">
        <f t="array" ref="F494">_xlfn.XLOOKUP(C494,customers[Customer ID],customers[City],"")</f>
        <v>Cleveland</v>
      </c>
      <c r="G494">
        <v>63</v>
      </c>
      <c r="H494" s="47" t="s">
        <v>39</v>
      </c>
      <c r="I494" s="48">
        <v>45069</v>
      </c>
      <c r="J494">
        <v>80</v>
      </c>
      <c r="K494">
        <v>2.5</v>
      </c>
      <c r="L494">
        <f>IF(MONTH(calls[[#This Row],[Date of Call]])&lt;=6,YEAR(calls[[#This Row],[Date of Call]]),YEAR(calls[[#This Row],[Date of Call]])+1)</f>
        <v>2023</v>
      </c>
      <c r="M494" t="str">
        <f>TEXT(calls[[#This Row],[Date of Call]],"DDDD")</f>
        <v>Tuesday</v>
      </c>
      <c r="N494" t="str" cm="1">
        <f t="array" ref="N49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94">
        <f>ROUND(calls[[#This Row],[Satisfaction Rating]],0)</f>
        <v>3</v>
      </c>
      <c r="P494" s="53">
        <f t="shared" si="7"/>
        <v>307</v>
      </c>
    </row>
    <row r="495" spans="2:16">
      <c r="B495" t="s">
        <v>575</v>
      </c>
      <c r="C495" t="s">
        <v>66</v>
      </c>
      <c r="D495" s="46" t="str" cm="1">
        <f t="array" ref="D495">_xlfn.XLOOKUP(C495,customers[Customer ID],customers[Gender],"")</f>
        <v>Female</v>
      </c>
      <c r="E495" s="46" cm="1">
        <f t="array" ref="E495">_xlfn.XLOOKUP(C495,customers[Customer ID],customers[Age],"")</f>
        <v>30</v>
      </c>
      <c r="F495" s="46" t="str" cm="1">
        <f t="array" ref="F495">_xlfn.XLOOKUP(C495,customers[Customer ID],customers[City],"")</f>
        <v>Cleveland</v>
      </c>
      <c r="G495">
        <v>59</v>
      </c>
      <c r="H495" s="47" t="s">
        <v>40</v>
      </c>
      <c r="I495" s="48">
        <v>45070</v>
      </c>
      <c r="J495">
        <v>123</v>
      </c>
      <c r="K495">
        <v>3.6</v>
      </c>
      <c r="L495">
        <f>IF(MONTH(calls[[#This Row],[Date of Call]])&lt;=6,YEAR(calls[[#This Row],[Date of Call]]),YEAR(calls[[#This Row],[Date of Call]])+1)</f>
        <v>2023</v>
      </c>
      <c r="M495" t="str">
        <f>TEXT(calls[[#This Row],[Date of Call]],"DDDD")</f>
        <v>Wednesday</v>
      </c>
      <c r="N495" t="str" cm="1">
        <f t="array" ref="N49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495">
        <f>ROUND(calls[[#This Row],[Satisfaction Rating]],0)</f>
        <v>4</v>
      </c>
      <c r="P495" s="53">
        <f t="shared" si="7"/>
        <v>307</v>
      </c>
    </row>
    <row r="496" spans="2:16">
      <c r="B496" t="s">
        <v>576</v>
      </c>
      <c r="C496" t="s">
        <v>71</v>
      </c>
      <c r="D496" s="46" t="str" cm="1">
        <f t="array" ref="D496">_xlfn.XLOOKUP(C496,customers[Customer ID],customers[Gender],"")</f>
        <v>Male</v>
      </c>
      <c r="E496" s="46" cm="1">
        <f t="array" ref="E496">_xlfn.XLOOKUP(C496,customers[Customer ID],customers[Age],"")</f>
        <v>23</v>
      </c>
      <c r="F496" s="46" t="str" cm="1">
        <f t="array" ref="F496">_xlfn.XLOOKUP(C496,customers[Customer ID],customers[City],"")</f>
        <v>Columbus</v>
      </c>
      <c r="G496">
        <v>133</v>
      </c>
      <c r="H496" s="47" t="s">
        <v>38</v>
      </c>
      <c r="I496" s="48">
        <v>45070</v>
      </c>
      <c r="J496">
        <v>31</v>
      </c>
      <c r="K496">
        <v>3.7</v>
      </c>
      <c r="L496">
        <f>IF(MONTH(calls[[#This Row],[Date of Call]])&lt;=6,YEAR(calls[[#This Row],[Date of Call]]),YEAR(calls[[#This Row],[Date of Call]])+1)</f>
        <v>2023</v>
      </c>
      <c r="M496" t="str">
        <f>TEXT(calls[[#This Row],[Date of Call]],"DDDD")</f>
        <v>Wednesday</v>
      </c>
      <c r="N496" t="str" cm="1">
        <f t="array" ref="N49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96">
        <f>ROUND(calls[[#This Row],[Satisfaction Rating]],0)</f>
        <v>4</v>
      </c>
      <c r="P496" s="53">
        <f t="shared" si="7"/>
        <v>307</v>
      </c>
    </row>
    <row r="497" spans="2:16">
      <c r="B497" t="s">
        <v>577</v>
      </c>
      <c r="C497" t="s">
        <v>69</v>
      </c>
      <c r="D497" s="46" t="str" cm="1">
        <f t="array" ref="D497">_xlfn.XLOOKUP(C497,customers[Customer ID],customers[Gender],"")</f>
        <v>Male</v>
      </c>
      <c r="E497" s="46" cm="1">
        <f t="array" ref="E497">_xlfn.XLOOKUP(C497,customers[Customer ID],customers[Age],"")</f>
        <v>41</v>
      </c>
      <c r="F497" s="46" t="str" cm="1">
        <f t="array" ref="F497">_xlfn.XLOOKUP(C497,customers[Customer ID],customers[City],"")</f>
        <v>Columbus</v>
      </c>
      <c r="G497">
        <v>101</v>
      </c>
      <c r="H497" s="47" t="s">
        <v>37</v>
      </c>
      <c r="I497" s="48">
        <v>45070</v>
      </c>
      <c r="J497">
        <v>205</v>
      </c>
      <c r="K497">
        <v>3.9</v>
      </c>
      <c r="L497">
        <f>IF(MONTH(calls[[#This Row],[Date of Call]])&lt;=6,YEAR(calls[[#This Row],[Date of Call]]),YEAR(calls[[#This Row],[Date of Call]])+1)</f>
        <v>2023</v>
      </c>
      <c r="M497" t="str">
        <f>TEXT(calls[[#This Row],[Date of Call]],"DDDD")</f>
        <v>Wednesday</v>
      </c>
      <c r="N497" t="str" cm="1">
        <f t="array" ref="N49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497">
        <f>ROUND(calls[[#This Row],[Satisfaction Rating]],0)</f>
        <v>4</v>
      </c>
      <c r="P497" s="53">
        <f t="shared" si="7"/>
        <v>307</v>
      </c>
    </row>
    <row r="498" spans="2:16">
      <c r="B498" t="s">
        <v>578</v>
      </c>
      <c r="C498" t="s">
        <v>67</v>
      </c>
      <c r="D498" s="46" t="str" cm="1">
        <f t="array" ref="D498">_xlfn.XLOOKUP(C498,customers[Customer ID],customers[Gender],"")</f>
        <v>Female</v>
      </c>
      <c r="E498" s="46" cm="1">
        <f t="array" ref="E498">_xlfn.XLOOKUP(C498,customers[Customer ID],customers[Age],"")</f>
        <v>37</v>
      </c>
      <c r="F498" s="46" t="str" cm="1">
        <f t="array" ref="F498">_xlfn.XLOOKUP(C498,customers[Customer ID],customers[City],"")</f>
        <v>Cleveland</v>
      </c>
      <c r="G498">
        <v>151</v>
      </c>
      <c r="H498" s="47" t="s">
        <v>39</v>
      </c>
      <c r="I498" s="48">
        <v>45071</v>
      </c>
      <c r="J498">
        <v>123</v>
      </c>
      <c r="K498">
        <v>3.7</v>
      </c>
      <c r="L498">
        <f>IF(MONTH(calls[[#This Row],[Date of Call]])&lt;=6,YEAR(calls[[#This Row],[Date of Call]]),YEAR(calls[[#This Row],[Date of Call]])+1)</f>
        <v>2023</v>
      </c>
      <c r="M498" t="str">
        <f>TEXT(calls[[#This Row],[Date of Call]],"DDDD")</f>
        <v>Thursday</v>
      </c>
      <c r="N498" t="str" cm="1">
        <f t="array" ref="N49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98">
        <f>ROUND(calls[[#This Row],[Satisfaction Rating]],0)</f>
        <v>4</v>
      </c>
      <c r="P498" s="53">
        <f t="shared" si="7"/>
        <v>307</v>
      </c>
    </row>
    <row r="499" spans="2:16">
      <c r="B499" t="s">
        <v>579</v>
      </c>
      <c r="C499" t="s">
        <v>61</v>
      </c>
      <c r="D499" s="46" t="str" cm="1">
        <f t="array" ref="D499">_xlfn.XLOOKUP(C499,customers[Customer ID],customers[Gender],"")</f>
        <v>Female</v>
      </c>
      <c r="E499" s="46" cm="1">
        <f t="array" ref="E499">_xlfn.XLOOKUP(C499,customers[Customer ID],customers[Age],"")</f>
        <v>30</v>
      </c>
      <c r="F499" s="46" t="str" cm="1">
        <f t="array" ref="F499">_xlfn.XLOOKUP(C499,customers[Customer ID],customers[City],"")</f>
        <v>Cincinnati</v>
      </c>
      <c r="G499">
        <v>146</v>
      </c>
      <c r="H499" s="47" t="s">
        <v>38</v>
      </c>
      <c r="I499" s="48">
        <v>45071</v>
      </c>
      <c r="J499">
        <v>123</v>
      </c>
      <c r="K499">
        <v>4.3</v>
      </c>
      <c r="L499">
        <f>IF(MONTH(calls[[#This Row],[Date of Call]])&lt;=6,YEAR(calls[[#This Row],[Date of Call]]),YEAR(calls[[#This Row],[Date of Call]])+1)</f>
        <v>2023</v>
      </c>
      <c r="M499" t="str">
        <f>TEXT(calls[[#This Row],[Date of Call]],"DDDD")</f>
        <v>Thursday</v>
      </c>
      <c r="N499" t="str" cm="1">
        <f t="array" ref="N49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499">
        <f>ROUND(calls[[#This Row],[Satisfaction Rating]],0)</f>
        <v>4</v>
      </c>
      <c r="P499" s="53">
        <f t="shared" si="7"/>
        <v>307</v>
      </c>
    </row>
    <row r="500" spans="2:16">
      <c r="B500" t="s">
        <v>580</v>
      </c>
      <c r="C500" t="s">
        <v>65</v>
      </c>
      <c r="D500" s="46" t="str" cm="1">
        <f t="array" ref="D500">_xlfn.XLOOKUP(C500,customers[Customer ID],customers[Gender],"")</f>
        <v>Female</v>
      </c>
      <c r="E500" s="46" cm="1">
        <f t="array" ref="E500">_xlfn.XLOOKUP(C500,customers[Customer ID],customers[Age],"")</f>
        <v>42</v>
      </c>
      <c r="F500" s="46" t="str" cm="1">
        <f t="array" ref="F500">_xlfn.XLOOKUP(C500,customers[Customer ID],customers[City],"")</f>
        <v>Cleveland</v>
      </c>
      <c r="G500">
        <v>148</v>
      </c>
      <c r="H500" s="47" t="s">
        <v>38</v>
      </c>
      <c r="I500" s="48">
        <v>45071</v>
      </c>
      <c r="J500">
        <v>36</v>
      </c>
      <c r="K500">
        <v>2.9</v>
      </c>
      <c r="L500">
        <f>IF(MONTH(calls[[#This Row],[Date of Call]])&lt;=6,YEAR(calls[[#This Row],[Date of Call]]),YEAR(calls[[#This Row],[Date of Call]])+1)</f>
        <v>2023</v>
      </c>
      <c r="M500" t="str">
        <f>TEXT(calls[[#This Row],[Date of Call]],"DDDD")</f>
        <v>Thursday</v>
      </c>
      <c r="N500" t="str" cm="1">
        <f t="array" ref="N50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00">
        <f>ROUND(calls[[#This Row],[Satisfaction Rating]],0)</f>
        <v>3</v>
      </c>
      <c r="P500" s="53">
        <f t="shared" si="7"/>
        <v>307</v>
      </c>
    </row>
    <row r="501" spans="2:16">
      <c r="B501" t="s">
        <v>581</v>
      </c>
      <c r="C501" t="s">
        <v>67</v>
      </c>
      <c r="D501" s="46" t="str" cm="1">
        <f t="array" ref="D501">_xlfn.XLOOKUP(C501,customers[Customer ID],customers[Gender],"")</f>
        <v>Female</v>
      </c>
      <c r="E501" s="46" cm="1">
        <f t="array" ref="E501">_xlfn.XLOOKUP(C501,customers[Customer ID],customers[Age],"")</f>
        <v>37</v>
      </c>
      <c r="F501" s="46" t="str" cm="1">
        <f t="array" ref="F501">_xlfn.XLOOKUP(C501,customers[Customer ID],customers[City],"")</f>
        <v>Cleveland</v>
      </c>
      <c r="G501">
        <v>81</v>
      </c>
      <c r="H501" s="47" t="s">
        <v>38</v>
      </c>
      <c r="I501" s="48">
        <v>45071</v>
      </c>
      <c r="J501">
        <v>116</v>
      </c>
      <c r="K501">
        <v>4.3</v>
      </c>
      <c r="L501">
        <f>IF(MONTH(calls[[#This Row],[Date of Call]])&lt;=6,YEAR(calls[[#This Row],[Date of Call]]),YEAR(calls[[#This Row],[Date of Call]])+1)</f>
        <v>2023</v>
      </c>
      <c r="M501" t="str">
        <f>TEXT(calls[[#This Row],[Date of Call]],"DDDD")</f>
        <v>Thursday</v>
      </c>
      <c r="N501" t="str" cm="1">
        <f t="array" ref="N5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01">
        <f>ROUND(calls[[#This Row],[Satisfaction Rating]],0)</f>
        <v>4</v>
      </c>
      <c r="P501" s="53">
        <f t="shared" si="7"/>
        <v>307</v>
      </c>
    </row>
    <row r="502" spans="2:16">
      <c r="B502" t="s">
        <v>582</v>
      </c>
      <c r="C502" t="s">
        <v>72</v>
      </c>
      <c r="D502" s="46" t="str" cm="1">
        <f t="array" ref="D502">_xlfn.XLOOKUP(C502,customers[Customer ID],customers[Gender],"")</f>
        <v>Female</v>
      </c>
      <c r="E502" s="46" cm="1">
        <f t="array" ref="E502">_xlfn.XLOOKUP(C502,customers[Customer ID],customers[Age],"")</f>
        <v>25</v>
      </c>
      <c r="F502" s="46" t="str" cm="1">
        <f t="array" ref="F502">_xlfn.XLOOKUP(C502,customers[Customer ID],customers[City],"")</f>
        <v>Columbus</v>
      </c>
      <c r="G502">
        <v>115</v>
      </c>
      <c r="H502" s="47" t="s">
        <v>38</v>
      </c>
      <c r="I502" s="48">
        <v>45071</v>
      </c>
      <c r="J502">
        <v>40</v>
      </c>
      <c r="K502">
        <v>4.9</v>
      </c>
      <c r="L502">
        <f>IF(MONTH(calls[[#This Row],[Date of Call]])&lt;=6,YEAR(calls[[#This Row],[Date of Call]]),YEAR(calls[[#This Row],[Date of Call]])+1)</f>
        <v>2023</v>
      </c>
      <c r="M502" t="str">
        <f>TEXT(calls[[#This Row],[Date of Call]],"DDDD")</f>
        <v>Thursday</v>
      </c>
      <c r="N502" t="str" cm="1">
        <f t="array" ref="N5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02">
        <f>ROUND(calls[[#This Row],[Satisfaction Rating]],0)</f>
        <v>5</v>
      </c>
      <c r="P502" s="53">
        <f t="shared" si="7"/>
        <v>307</v>
      </c>
    </row>
    <row r="503" spans="2:16">
      <c r="B503" t="s">
        <v>583</v>
      </c>
      <c r="C503" t="s">
        <v>72</v>
      </c>
      <c r="D503" s="46" t="str" cm="1">
        <f t="array" ref="D503">_xlfn.XLOOKUP(C503,customers[Customer ID],customers[Gender],"")</f>
        <v>Female</v>
      </c>
      <c r="E503" s="46" cm="1">
        <f t="array" ref="E503">_xlfn.XLOOKUP(C503,customers[Customer ID],customers[Age],"")</f>
        <v>25</v>
      </c>
      <c r="F503" s="46" t="str" cm="1">
        <f t="array" ref="F503">_xlfn.XLOOKUP(C503,customers[Customer ID],customers[City],"")</f>
        <v>Columbus</v>
      </c>
      <c r="G503">
        <v>117</v>
      </c>
      <c r="H503" s="47" t="s">
        <v>39</v>
      </c>
      <c r="I503" s="48">
        <v>45071</v>
      </c>
      <c r="J503">
        <v>40</v>
      </c>
      <c r="K503">
        <v>4</v>
      </c>
      <c r="L503">
        <f>IF(MONTH(calls[[#This Row],[Date of Call]])&lt;=6,YEAR(calls[[#This Row],[Date of Call]]),YEAR(calls[[#This Row],[Date of Call]])+1)</f>
        <v>2023</v>
      </c>
      <c r="M503" t="str">
        <f>TEXT(calls[[#This Row],[Date of Call]],"DDDD")</f>
        <v>Thursday</v>
      </c>
      <c r="N503" t="str" cm="1">
        <f t="array" ref="N5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03">
        <f>ROUND(calls[[#This Row],[Satisfaction Rating]],0)</f>
        <v>4</v>
      </c>
      <c r="P503" s="53">
        <f t="shared" si="7"/>
        <v>307</v>
      </c>
    </row>
    <row r="504" spans="2:16">
      <c r="B504" t="s">
        <v>584</v>
      </c>
      <c r="C504" t="s">
        <v>69</v>
      </c>
      <c r="D504" s="46" t="str" cm="1">
        <f t="array" ref="D504">_xlfn.XLOOKUP(C504,customers[Customer ID],customers[Gender],"")</f>
        <v>Male</v>
      </c>
      <c r="E504" s="46" cm="1">
        <f t="array" ref="E504">_xlfn.XLOOKUP(C504,customers[Customer ID],customers[Age],"")</f>
        <v>41</v>
      </c>
      <c r="F504" s="46" t="str" cm="1">
        <f t="array" ref="F504">_xlfn.XLOOKUP(C504,customers[Customer ID],customers[City],"")</f>
        <v>Columbus</v>
      </c>
      <c r="G504">
        <v>110</v>
      </c>
      <c r="H504" s="47" t="s">
        <v>36</v>
      </c>
      <c r="I504" s="48">
        <v>45072</v>
      </c>
      <c r="J504">
        <v>82</v>
      </c>
      <c r="K504">
        <v>4</v>
      </c>
      <c r="L504">
        <f>IF(MONTH(calls[[#This Row],[Date of Call]])&lt;=6,YEAR(calls[[#This Row],[Date of Call]]),YEAR(calls[[#This Row],[Date of Call]])+1)</f>
        <v>2023</v>
      </c>
      <c r="M504" t="str">
        <f>TEXT(calls[[#This Row],[Date of Call]],"DDDD")</f>
        <v>Friday</v>
      </c>
      <c r="N504" t="str" cm="1">
        <f t="array" ref="N50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04">
        <f>ROUND(calls[[#This Row],[Satisfaction Rating]],0)</f>
        <v>4</v>
      </c>
      <c r="P504" s="53">
        <f t="shared" si="7"/>
        <v>307</v>
      </c>
    </row>
    <row r="505" spans="2:16">
      <c r="B505" t="s">
        <v>585</v>
      </c>
      <c r="C505" t="s">
        <v>63</v>
      </c>
      <c r="D505" s="46" t="str" cm="1">
        <f t="array" ref="D505">_xlfn.XLOOKUP(C505,customers[Customer ID],customers[Gender],"")</f>
        <v>Male</v>
      </c>
      <c r="E505" s="46" cm="1">
        <f t="array" ref="E505">_xlfn.XLOOKUP(C505,customers[Customer ID],customers[Age],"")</f>
        <v>31</v>
      </c>
      <c r="F505" s="46" t="str" cm="1">
        <f t="array" ref="F505">_xlfn.XLOOKUP(C505,customers[Customer ID],customers[City],"")</f>
        <v>Cleveland</v>
      </c>
      <c r="G505">
        <v>103</v>
      </c>
      <c r="H505" s="47" t="s">
        <v>40</v>
      </c>
      <c r="I505" s="48">
        <v>45072</v>
      </c>
      <c r="J505">
        <v>62</v>
      </c>
      <c r="K505">
        <v>3.4</v>
      </c>
      <c r="L505">
        <f>IF(MONTH(calls[[#This Row],[Date of Call]])&lt;=6,YEAR(calls[[#This Row],[Date of Call]]),YEAR(calls[[#This Row],[Date of Call]])+1)</f>
        <v>2023</v>
      </c>
      <c r="M505" t="str">
        <f>TEXT(calls[[#This Row],[Date of Call]],"DDDD")</f>
        <v>Friday</v>
      </c>
      <c r="N505" t="str" cm="1">
        <f t="array" ref="N50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05">
        <f>ROUND(calls[[#This Row],[Satisfaction Rating]],0)</f>
        <v>3</v>
      </c>
      <c r="P505" s="53">
        <f t="shared" si="7"/>
        <v>307</v>
      </c>
    </row>
    <row r="506" spans="2:16">
      <c r="B506" t="s">
        <v>586</v>
      </c>
      <c r="C506" t="s">
        <v>73</v>
      </c>
      <c r="D506" s="46" t="str" cm="1">
        <f t="array" ref="D506">_xlfn.XLOOKUP(C506,customers[Customer ID],customers[Gender],"")</f>
        <v>Female</v>
      </c>
      <c r="E506" s="46" cm="1">
        <f t="array" ref="E506">_xlfn.XLOOKUP(C506,customers[Customer ID],customers[Age],"")</f>
        <v>38</v>
      </c>
      <c r="F506" s="46" t="str" cm="1">
        <f t="array" ref="F506">_xlfn.XLOOKUP(C506,customers[Customer ID],customers[City],"")</f>
        <v>Columbus</v>
      </c>
      <c r="G506">
        <v>45</v>
      </c>
      <c r="H506" s="47" t="s">
        <v>40</v>
      </c>
      <c r="I506" s="48">
        <v>45072</v>
      </c>
      <c r="J506">
        <v>135</v>
      </c>
      <c r="K506">
        <v>3.9</v>
      </c>
      <c r="L506">
        <f>IF(MONTH(calls[[#This Row],[Date of Call]])&lt;=6,YEAR(calls[[#This Row],[Date of Call]]),YEAR(calls[[#This Row],[Date of Call]])+1)</f>
        <v>2023</v>
      </c>
      <c r="M506" t="str">
        <f>TEXT(calls[[#This Row],[Date of Call]],"DDDD")</f>
        <v>Friday</v>
      </c>
      <c r="N506" t="str" cm="1">
        <f t="array" ref="N50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06">
        <f>ROUND(calls[[#This Row],[Satisfaction Rating]],0)</f>
        <v>4</v>
      </c>
      <c r="P506" s="53">
        <f t="shared" si="7"/>
        <v>307</v>
      </c>
    </row>
    <row r="507" spans="2:16">
      <c r="B507" t="s">
        <v>587</v>
      </c>
      <c r="C507" t="s">
        <v>69</v>
      </c>
      <c r="D507" s="46" t="str" cm="1">
        <f t="array" ref="D507">_xlfn.XLOOKUP(C507,customers[Customer ID],customers[Gender],"")</f>
        <v>Male</v>
      </c>
      <c r="E507" s="46" cm="1">
        <f t="array" ref="E507">_xlfn.XLOOKUP(C507,customers[Customer ID],customers[Age],"")</f>
        <v>41</v>
      </c>
      <c r="F507" s="46" t="str" cm="1">
        <f t="array" ref="F507">_xlfn.XLOOKUP(C507,customers[Customer ID],customers[City],"")</f>
        <v>Columbus</v>
      </c>
      <c r="G507">
        <v>110</v>
      </c>
      <c r="H507" s="47" t="s">
        <v>37</v>
      </c>
      <c r="I507" s="48">
        <v>45072</v>
      </c>
      <c r="J507">
        <v>155</v>
      </c>
      <c r="K507">
        <v>2.1</v>
      </c>
      <c r="L507">
        <f>IF(MONTH(calls[[#This Row],[Date of Call]])&lt;=6,YEAR(calls[[#This Row],[Date of Call]]),YEAR(calls[[#This Row],[Date of Call]])+1)</f>
        <v>2023</v>
      </c>
      <c r="M507" t="str">
        <f>TEXT(calls[[#This Row],[Date of Call]],"DDDD")</f>
        <v>Friday</v>
      </c>
      <c r="N507" t="str" cm="1">
        <f t="array" ref="N5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07">
        <f>ROUND(calls[[#This Row],[Satisfaction Rating]],0)</f>
        <v>2</v>
      </c>
      <c r="P507" s="53">
        <f t="shared" si="7"/>
        <v>307</v>
      </c>
    </row>
    <row r="508" spans="2:16">
      <c r="B508" t="s">
        <v>588</v>
      </c>
      <c r="C508" t="s">
        <v>66</v>
      </c>
      <c r="D508" s="46" t="str" cm="1">
        <f t="array" ref="D508">_xlfn.XLOOKUP(C508,customers[Customer ID],customers[Gender],"")</f>
        <v>Female</v>
      </c>
      <c r="E508" s="46" cm="1">
        <f t="array" ref="E508">_xlfn.XLOOKUP(C508,customers[Customer ID],customers[Age],"")</f>
        <v>30</v>
      </c>
      <c r="F508" s="46" t="str" cm="1">
        <f t="array" ref="F508">_xlfn.XLOOKUP(C508,customers[Customer ID],customers[City],"")</f>
        <v>Cleveland</v>
      </c>
      <c r="G508">
        <v>43</v>
      </c>
      <c r="H508" s="47" t="s">
        <v>36</v>
      </c>
      <c r="I508" s="48">
        <v>45072</v>
      </c>
      <c r="J508">
        <v>37</v>
      </c>
      <c r="K508">
        <v>4.9</v>
      </c>
      <c r="L508">
        <f>IF(MONTH(calls[[#This Row],[Date of Call]])&lt;=6,YEAR(calls[[#This Row],[Date of Call]]),YEAR(calls[[#This Row],[Date of Call]])+1)</f>
        <v>2023</v>
      </c>
      <c r="M508" t="str">
        <f>TEXT(calls[[#This Row],[Date of Call]],"DDDD")</f>
        <v>Friday</v>
      </c>
      <c r="N508" t="str" cm="1">
        <f t="array" ref="N50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08">
        <f>ROUND(calls[[#This Row],[Satisfaction Rating]],0)</f>
        <v>5</v>
      </c>
      <c r="P508" s="53">
        <f t="shared" si="7"/>
        <v>307</v>
      </c>
    </row>
    <row r="509" spans="2:16">
      <c r="B509" t="s">
        <v>589</v>
      </c>
      <c r="C509" t="s">
        <v>69</v>
      </c>
      <c r="D509" s="46" t="str" cm="1">
        <f t="array" ref="D509">_xlfn.XLOOKUP(C509,customers[Customer ID],customers[Gender],"")</f>
        <v>Male</v>
      </c>
      <c r="E509" s="46" cm="1">
        <f t="array" ref="E509">_xlfn.XLOOKUP(C509,customers[Customer ID],customers[Age],"")</f>
        <v>41</v>
      </c>
      <c r="F509" s="46" t="str" cm="1">
        <f t="array" ref="F509">_xlfn.XLOOKUP(C509,customers[Customer ID],customers[City],"")</f>
        <v>Columbus</v>
      </c>
      <c r="G509">
        <v>104</v>
      </c>
      <c r="H509" s="47" t="s">
        <v>39</v>
      </c>
      <c r="I509" s="48">
        <v>45073</v>
      </c>
      <c r="J509">
        <v>56</v>
      </c>
      <c r="K509">
        <v>3.4</v>
      </c>
      <c r="L509">
        <f>IF(MONTH(calls[[#This Row],[Date of Call]])&lt;=6,YEAR(calls[[#This Row],[Date of Call]]),YEAR(calls[[#This Row],[Date of Call]])+1)</f>
        <v>2023</v>
      </c>
      <c r="M509" t="str">
        <f>TEXT(calls[[#This Row],[Date of Call]],"DDDD")</f>
        <v>Saturday</v>
      </c>
      <c r="N509" t="str" cm="1">
        <f t="array" ref="N5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09">
        <f>ROUND(calls[[#This Row],[Satisfaction Rating]],0)</f>
        <v>3</v>
      </c>
      <c r="P509" s="53">
        <f t="shared" si="7"/>
        <v>307</v>
      </c>
    </row>
    <row r="510" spans="2:16">
      <c r="B510" t="s">
        <v>590</v>
      </c>
      <c r="C510" t="s">
        <v>69</v>
      </c>
      <c r="D510" s="46" t="str" cm="1">
        <f t="array" ref="D510">_xlfn.XLOOKUP(C510,customers[Customer ID],customers[Gender],"")</f>
        <v>Male</v>
      </c>
      <c r="E510" s="46" cm="1">
        <f t="array" ref="E510">_xlfn.XLOOKUP(C510,customers[Customer ID],customers[Age],"")</f>
        <v>41</v>
      </c>
      <c r="F510" s="46" t="str" cm="1">
        <f t="array" ref="F510">_xlfn.XLOOKUP(C510,customers[Customer ID],customers[City],"")</f>
        <v>Columbus</v>
      </c>
      <c r="G510">
        <v>101</v>
      </c>
      <c r="H510" s="47" t="s">
        <v>39</v>
      </c>
      <c r="I510" s="48">
        <v>45073</v>
      </c>
      <c r="J510">
        <v>185</v>
      </c>
      <c r="K510">
        <v>5</v>
      </c>
      <c r="L510">
        <f>IF(MONTH(calls[[#This Row],[Date of Call]])&lt;=6,YEAR(calls[[#This Row],[Date of Call]]),YEAR(calls[[#This Row],[Date of Call]])+1)</f>
        <v>2023</v>
      </c>
      <c r="M510" t="str">
        <f>TEXT(calls[[#This Row],[Date of Call]],"DDDD")</f>
        <v>Saturday</v>
      </c>
      <c r="N510" t="str" cm="1">
        <f t="array" ref="N5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10">
        <f>ROUND(calls[[#This Row],[Satisfaction Rating]],0)</f>
        <v>5</v>
      </c>
      <c r="P510" s="53">
        <f t="shared" si="7"/>
        <v>307</v>
      </c>
    </row>
    <row r="511" spans="2:16">
      <c r="B511" t="s">
        <v>591</v>
      </c>
      <c r="C511" t="s">
        <v>59</v>
      </c>
      <c r="D511" s="46" t="str" cm="1">
        <f t="array" ref="D511">_xlfn.XLOOKUP(C511,customers[Customer ID],customers[Gender],"")</f>
        <v>Male</v>
      </c>
      <c r="E511" s="46" cm="1">
        <f t="array" ref="E511">_xlfn.XLOOKUP(C511,customers[Customer ID],customers[Age],"")</f>
        <v>26</v>
      </c>
      <c r="F511" s="46" t="str" cm="1">
        <f t="array" ref="F511">_xlfn.XLOOKUP(C511,customers[Customer ID],customers[City],"")</f>
        <v>Cincinnati</v>
      </c>
      <c r="G511">
        <v>55</v>
      </c>
      <c r="H511" s="47" t="s">
        <v>36</v>
      </c>
      <c r="I511" s="48">
        <v>45074</v>
      </c>
      <c r="J511">
        <v>145</v>
      </c>
      <c r="K511">
        <v>4.5</v>
      </c>
      <c r="L511">
        <f>IF(MONTH(calls[[#This Row],[Date of Call]])&lt;=6,YEAR(calls[[#This Row],[Date of Call]]),YEAR(calls[[#This Row],[Date of Call]])+1)</f>
        <v>2023</v>
      </c>
      <c r="M511" t="str">
        <f>TEXT(calls[[#This Row],[Date of Call]],"DDDD")</f>
        <v>Sunday</v>
      </c>
      <c r="N511" t="str" cm="1">
        <f t="array" ref="N51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11">
        <f>ROUND(calls[[#This Row],[Satisfaction Rating]],0)</f>
        <v>5</v>
      </c>
      <c r="P511" s="53">
        <f t="shared" si="7"/>
        <v>307</v>
      </c>
    </row>
    <row r="512" spans="2:16">
      <c r="B512" t="s">
        <v>592</v>
      </c>
      <c r="C512" t="s">
        <v>67</v>
      </c>
      <c r="D512" s="46" t="str" cm="1">
        <f t="array" ref="D512">_xlfn.XLOOKUP(C512,customers[Customer ID],customers[Gender],"")</f>
        <v>Female</v>
      </c>
      <c r="E512" s="46" cm="1">
        <f t="array" ref="E512">_xlfn.XLOOKUP(C512,customers[Customer ID],customers[Age],"")</f>
        <v>37</v>
      </c>
      <c r="F512" s="46" t="str" cm="1">
        <f t="array" ref="F512">_xlfn.XLOOKUP(C512,customers[Customer ID],customers[City],"")</f>
        <v>Cleveland</v>
      </c>
      <c r="G512">
        <v>40</v>
      </c>
      <c r="H512" s="47" t="s">
        <v>40</v>
      </c>
      <c r="I512" s="48">
        <v>45074</v>
      </c>
      <c r="J512">
        <v>116</v>
      </c>
      <c r="K512">
        <v>2.6</v>
      </c>
      <c r="L512">
        <f>IF(MONTH(calls[[#This Row],[Date of Call]])&lt;=6,YEAR(calls[[#This Row],[Date of Call]]),YEAR(calls[[#This Row],[Date of Call]])+1)</f>
        <v>2023</v>
      </c>
      <c r="M512" t="str">
        <f>TEXT(calls[[#This Row],[Date of Call]],"DDDD")</f>
        <v>Sunday</v>
      </c>
      <c r="N512" t="str" cm="1">
        <f t="array" ref="N51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12">
        <f>ROUND(calls[[#This Row],[Satisfaction Rating]],0)</f>
        <v>3</v>
      </c>
      <c r="P512" s="53">
        <f t="shared" si="7"/>
        <v>307</v>
      </c>
    </row>
    <row r="513" spans="2:16">
      <c r="B513" t="s">
        <v>593</v>
      </c>
      <c r="C513" t="s">
        <v>66</v>
      </c>
      <c r="D513" s="46" t="str" cm="1">
        <f t="array" ref="D513">_xlfn.XLOOKUP(C513,customers[Customer ID],customers[Gender],"")</f>
        <v>Female</v>
      </c>
      <c r="E513" s="46" cm="1">
        <f t="array" ref="E513">_xlfn.XLOOKUP(C513,customers[Customer ID],customers[Age],"")</f>
        <v>30</v>
      </c>
      <c r="F513" s="46" t="str" cm="1">
        <f t="array" ref="F513">_xlfn.XLOOKUP(C513,customers[Customer ID],customers[City],"")</f>
        <v>Cleveland</v>
      </c>
      <c r="G513">
        <v>122</v>
      </c>
      <c r="H513" s="47" t="s">
        <v>38</v>
      </c>
      <c r="I513" s="48">
        <v>45074</v>
      </c>
      <c r="J513">
        <v>45</v>
      </c>
      <c r="K513">
        <v>4.2</v>
      </c>
      <c r="L513">
        <f>IF(MONTH(calls[[#This Row],[Date of Call]])&lt;=6,YEAR(calls[[#This Row],[Date of Call]]),YEAR(calls[[#This Row],[Date of Call]])+1)</f>
        <v>2023</v>
      </c>
      <c r="M513" t="str">
        <f>TEXT(calls[[#This Row],[Date of Call]],"DDDD")</f>
        <v>Sunday</v>
      </c>
      <c r="N513" t="str" cm="1">
        <f t="array" ref="N51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13">
        <f>ROUND(calls[[#This Row],[Satisfaction Rating]],0)</f>
        <v>4</v>
      </c>
      <c r="P513" s="53">
        <f t="shared" si="7"/>
        <v>307</v>
      </c>
    </row>
    <row r="514" spans="2:16">
      <c r="B514" t="s">
        <v>594</v>
      </c>
      <c r="C514" t="s">
        <v>61</v>
      </c>
      <c r="D514" s="46" t="str" cm="1">
        <f t="array" ref="D514">_xlfn.XLOOKUP(C514,customers[Customer ID],customers[Gender],"")</f>
        <v>Female</v>
      </c>
      <c r="E514" s="46" cm="1">
        <f t="array" ref="E514">_xlfn.XLOOKUP(C514,customers[Customer ID],customers[Age],"")</f>
        <v>30</v>
      </c>
      <c r="F514" s="46" t="str" cm="1">
        <f t="array" ref="F514">_xlfn.XLOOKUP(C514,customers[Customer ID],customers[City],"")</f>
        <v>Cincinnati</v>
      </c>
      <c r="G514">
        <v>98</v>
      </c>
      <c r="H514" s="47" t="s">
        <v>39</v>
      </c>
      <c r="I514" s="48">
        <v>45075</v>
      </c>
      <c r="J514">
        <v>35</v>
      </c>
      <c r="K514">
        <v>4.5</v>
      </c>
      <c r="L514">
        <f>IF(MONTH(calls[[#This Row],[Date of Call]])&lt;=6,YEAR(calls[[#This Row],[Date of Call]]),YEAR(calls[[#This Row],[Date of Call]])+1)</f>
        <v>2023</v>
      </c>
      <c r="M514" t="str">
        <f>TEXT(calls[[#This Row],[Date of Call]],"DDDD")</f>
        <v>Monday</v>
      </c>
      <c r="N514" t="str" cm="1">
        <f t="array" ref="N5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14">
        <f>ROUND(calls[[#This Row],[Satisfaction Rating]],0)</f>
        <v>5</v>
      </c>
      <c r="P514" s="53">
        <f t="shared" si="7"/>
        <v>307</v>
      </c>
    </row>
    <row r="515" spans="2:16">
      <c r="B515" t="s">
        <v>595</v>
      </c>
      <c r="C515" t="s">
        <v>72</v>
      </c>
      <c r="D515" s="46" t="str" cm="1">
        <f t="array" ref="D515">_xlfn.XLOOKUP(C515,customers[Customer ID],customers[Gender],"")</f>
        <v>Female</v>
      </c>
      <c r="E515" s="46" cm="1">
        <f t="array" ref="E515">_xlfn.XLOOKUP(C515,customers[Customer ID],customers[Age],"")</f>
        <v>25</v>
      </c>
      <c r="F515" s="46" t="str" cm="1">
        <f t="array" ref="F515">_xlfn.XLOOKUP(C515,customers[Customer ID],customers[City],"")</f>
        <v>Columbus</v>
      </c>
      <c r="G515">
        <v>110</v>
      </c>
      <c r="H515" s="47" t="s">
        <v>40</v>
      </c>
      <c r="I515" s="48">
        <v>45075</v>
      </c>
      <c r="J515">
        <v>100</v>
      </c>
      <c r="K515">
        <v>4.4</v>
      </c>
      <c r="L515">
        <f>IF(MONTH(calls[[#This Row],[Date of Call]])&lt;=6,YEAR(calls[[#This Row],[Date of Call]]),YEAR(calls[[#This Row],[Date of Call]])+1)</f>
        <v>2023</v>
      </c>
      <c r="M515" t="str">
        <f>TEXT(calls[[#This Row],[Date of Call]],"DDDD")</f>
        <v>Monday</v>
      </c>
      <c r="N515" t="str" cm="1">
        <f t="array" ref="N51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15">
        <f>ROUND(calls[[#This Row],[Satisfaction Rating]],0)</f>
        <v>4</v>
      </c>
      <c r="P515" s="53">
        <f t="shared" si="7"/>
        <v>307</v>
      </c>
    </row>
    <row r="516" spans="2:16">
      <c r="B516" t="s">
        <v>596</v>
      </c>
      <c r="C516" t="s">
        <v>72</v>
      </c>
      <c r="D516" s="46" t="str" cm="1">
        <f t="array" ref="D516">_xlfn.XLOOKUP(C516,customers[Customer ID],customers[Gender],"")</f>
        <v>Female</v>
      </c>
      <c r="E516" s="46" cm="1">
        <f t="array" ref="E516">_xlfn.XLOOKUP(C516,customers[Customer ID],customers[Age],"")</f>
        <v>25</v>
      </c>
      <c r="F516" s="46" t="str" cm="1">
        <f t="array" ref="F516">_xlfn.XLOOKUP(C516,customers[Customer ID],customers[City],"")</f>
        <v>Columbus</v>
      </c>
      <c r="G516">
        <v>62</v>
      </c>
      <c r="H516" s="47" t="s">
        <v>36</v>
      </c>
      <c r="I516" s="48">
        <v>45076</v>
      </c>
      <c r="J516">
        <v>125</v>
      </c>
      <c r="K516">
        <v>3.5</v>
      </c>
      <c r="L516">
        <f>IF(MONTH(calls[[#This Row],[Date of Call]])&lt;=6,YEAR(calls[[#This Row],[Date of Call]]),YEAR(calls[[#This Row],[Date of Call]])+1)</f>
        <v>2023</v>
      </c>
      <c r="M516" t="str">
        <f>TEXT(calls[[#This Row],[Date of Call]],"DDDD")</f>
        <v>Tuesday</v>
      </c>
      <c r="N516" t="str" cm="1">
        <f t="array" ref="N51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16">
        <f>ROUND(calls[[#This Row],[Satisfaction Rating]],0)</f>
        <v>4</v>
      </c>
      <c r="P516" s="53">
        <f t="shared" ref="P516:P579" si="8">COUNTIF(O:O,5)</f>
        <v>307</v>
      </c>
    </row>
    <row r="517" spans="2:16">
      <c r="B517" t="s">
        <v>597</v>
      </c>
      <c r="C517" t="s">
        <v>66</v>
      </c>
      <c r="D517" s="46" t="str" cm="1">
        <f t="array" ref="D517">_xlfn.XLOOKUP(C517,customers[Customer ID],customers[Gender],"")</f>
        <v>Female</v>
      </c>
      <c r="E517" s="46" cm="1">
        <f t="array" ref="E517">_xlfn.XLOOKUP(C517,customers[Customer ID],customers[Age],"")</f>
        <v>30</v>
      </c>
      <c r="F517" s="46" t="str" cm="1">
        <f t="array" ref="F517">_xlfn.XLOOKUP(C517,customers[Customer ID],customers[City],"")</f>
        <v>Cleveland</v>
      </c>
      <c r="G517">
        <v>134</v>
      </c>
      <c r="H517" s="47" t="s">
        <v>38</v>
      </c>
      <c r="I517" s="48">
        <v>45076</v>
      </c>
      <c r="J517">
        <v>120</v>
      </c>
      <c r="K517">
        <v>3</v>
      </c>
      <c r="L517">
        <f>IF(MONTH(calls[[#This Row],[Date of Call]])&lt;=6,YEAR(calls[[#This Row],[Date of Call]]),YEAR(calls[[#This Row],[Date of Call]])+1)</f>
        <v>2023</v>
      </c>
      <c r="M517" t="str">
        <f>TEXT(calls[[#This Row],[Date of Call]],"DDDD")</f>
        <v>Tuesday</v>
      </c>
      <c r="N517" t="str" cm="1">
        <f t="array" ref="N51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17">
        <f>ROUND(calls[[#This Row],[Satisfaction Rating]],0)</f>
        <v>3</v>
      </c>
      <c r="P517" s="53">
        <f t="shared" si="8"/>
        <v>307</v>
      </c>
    </row>
    <row r="518" spans="2:16">
      <c r="B518" t="s">
        <v>598</v>
      </c>
      <c r="C518" t="s">
        <v>68</v>
      </c>
      <c r="D518" s="46" t="str" cm="1">
        <f t="array" ref="D518">_xlfn.XLOOKUP(C518,customers[Customer ID],customers[Gender],"")</f>
        <v>Female</v>
      </c>
      <c r="E518" s="46" cm="1">
        <f t="array" ref="E518">_xlfn.XLOOKUP(C518,customers[Customer ID],customers[Age],"")</f>
        <v>43</v>
      </c>
      <c r="F518" s="46" t="str" cm="1">
        <f t="array" ref="F518">_xlfn.XLOOKUP(C518,customers[Customer ID],customers[City],"")</f>
        <v>Cleveland</v>
      </c>
      <c r="G518">
        <v>94</v>
      </c>
      <c r="H518" s="47" t="s">
        <v>37</v>
      </c>
      <c r="I518" s="48">
        <v>45076</v>
      </c>
      <c r="J518">
        <v>180</v>
      </c>
      <c r="K518">
        <v>4.7</v>
      </c>
      <c r="L518">
        <f>IF(MONTH(calls[[#This Row],[Date of Call]])&lt;=6,YEAR(calls[[#This Row],[Date of Call]]),YEAR(calls[[#This Row],[Date of Call]])+1)</f>
        <v>2023</v>
      </c>
      <c r="M518" t="str">
        <f>TEXT(calls[[#This Row],[Date of Call]],"DDDD")</f>
        <v>Tuesday</v>
      </c>
      <c r="N518" t="str" cm="1">
        <f t="array" ref="N51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18">
        <f>ROUND(calls[[#This Row],[Satisfaction Rating]],0)</f>
        <v>5</v>
      </c>
      <c r="P518" s="53">
        <f t="shared" si="8"/>
        <v>307</v>
      </c>
    </row>
    <row r="519" spans="2:16">
      <c r="B519" t="s">
        <v>599</v>
      </c>
      <c r="C519" t="s">
        <v>64</v>
      </c>
      <c r="D519" s="46" t="str" cm="1">
        <f t="array" ref="D519">_xlfn.XLOOKUP(C519,customers[Customer ID],customers[Gender],"")</f>
        <v>Female</v>
      </c>
      <c r="E519" s="46" cm="1">
        <f t="array" ref="E519">_xlfn.XLOOKUP(C519,customers[Customer ID],customers[Age],"")</f>
        <v>22</v>
      </c>
      <c r="F519" s="46" t="str" cm="1">
        <f t="array" ref="F519">_xlfn.XLOOKUP(C519,customers[Customer ID],customers[City],"")</f>
        <v>Cleveland</v>
      </c>
      <c r="G519">
        <v>63</v>
      </c>
      <c r="H519" s="47" t="s">
        <v>40</v>
      </c>
      <c r="I519" s="48">
        <v>45076</v>
      </c>
      <c r="J519">
        <v>44</v>
      </c>
      <c r="K519">
        <v>3</v>
      </c>
      <c r="L519">
        <f>IF(MONTH(calls[[#This Row],[Date of Call]])&lt;=6,YEAR(calls[[#This Row],[Date of Call]]),YEAR(calls[[#This Row],[Date of Call]])+1)</f>
        <v>2023</v>
      </c>
      <c r="M519" t="str">
        <f>TEXT(calls[[#This Row],[Date of Call]],"DDDD")</f>
        <v>Tuesday</v>
      </c>
      <c r="N519" t="str" cm="1">
        <f t="array" ref="N5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19">
        <f>ROUND(calls[[#This Row],[Satisfaction Rating]],0)</f>
        <v>3</v>
      </c>
      <c r="P519" s="53">
        <f t="shared" si="8"/>
        <v>307</v>
      </c>
    </row>
    <row r="520" spans="2:16">
      <c r="B520" t="s">
        <v>600</v>
      </c>
      <c r="C520" t="s">
        <v>71</v>
      </c>
      <c r="D520" s="46" t="str" cm="1">
        <f t="array" ref="D520">_xlfn.XLOOKUP(C520,customers[Customer ID],customers[Gender],"")</f>
        <v>Male</v>
      </c>
      <c r="E520" s="46" cm="1">
        <f t="array" ref="E520">_xlfn.XLOOKUP(C520,customers[Customer ID],customers[Age],"")</f>
        <v>23</v>
      </c>
      <c r="F520" s="46" t="str" cm="1">
        <f t="array" ref="F520">_xlfn.XLOOKUP(C520,customers[Customer ID],customers[City],"")</f>
        <v>Columbus</v>
      </c>
      <c r="G520">
        <v>95</v>
      </c>
      <c r="H520" s="47" t="s">
        <v>38</v>
      </c>
      <c r="I520" s="48">
        <v>45076</v>
      </c>
      <c r="J520">
        <v>86</v>
      </c>
      <c r="K520">
        <v>3.6</v>
      </c>
      <c r="L520">
        <f>IF(MONTH(calls[[#This Row],[Date of Call]])&lt;=6,YEAR(calls[[#This Row],[Date of Call]]),YEAR(calls[[#This Row],[Date of Call]])+1)</f>
        <v>2023</v>
      </c>
      <c r="M520" t="str">
        <f>TEXT(calls[[#This Row],[Date of Call]],"DDDD")</f>
        <v>Tuesday</v>
      </c>
      <c r="N520" t="str" cm="1">
        <f t="array" ref="N52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20">
        <f>ROUND(calls[[#This Row],[Satisfaction Rating]],0)</f>
        <v>4</v>
      </c>
      <c r="P520" s="53">
        <f t="shared" si="8"/>
        <v>307</v>
      </c>
    </row>
    <row r="521" spans="2:16">
      <c r="B521" t="s">
        <v>601</v>
      </c>
      <c r="C521" t="s">
        <v>66</v>
      </c>
      <c r="D521" s="46" t="str" cm="1">
        <f t="array" ref="D521">_xlfn.XLOOKUP(C521,customers[Customer ID],customers[Gender],"")</f>
        <v>Female</v>
      </c>
      <c r="E521" s="46" cm="1">
        <f t="array" ref="E521">_xlfn.XLOOKUP(C521,customers[Customer ID],customers[Age],"")</f>
        <v>30</v>
      </c>
      <c r="F521" s="46" t="str" cm="1">
        <f t="array" ref="F521">_xlfn.XLOOKUP(C521,customers[Customer ID],customers[City],"")</f>
        <v>Cleveland</v>
      </c>
      <c r="G521">
        <v>106</v>
      </c>
      <c r="H521" s="47" t="s">
        <v>38</v>
      </c>
      <c r="I521" s="48">
        <v>45077</v>
      </c>
      <c r="J521">
        <v>120</v>
      </c>
      <c r="K521">
        <v>4.1</v>
      </c>
      <c r="L521">
        <f>IF(MONTH(calls[[#This Row],[Date of Call]])&lt;=6,YEAR(calls[[#This Row],[Date of Call]]),YEAR(calls[[#This Row],[Date of Call]])+1)</f>
        <v>2023</v>
      </c>
      <c r="M521" t="str">
        <f>TEXT(calls[[#This Row],[Date of Call]],"DDDD")</f>
        <v>Wednesday</v>
      </c>
      <c r="N521" t="str" cm="1">
        <f t="array" ref="N5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21">
        <f>ROUND(calls[[#This Row],[Satisfaction Rating]],0)</f>
        <v>4</v>
      </c>
      <c r="P521" s="53">
        <f t="shared" si="8"/>
        <v>307</v>
      </c>
    </row>
    <row r="522" spans="2:16">
      <c r="B522" t="s">
        <v>602</v>
      </c>
      <c r="C522" t="s">
        <v>73</v>
      </c>
      <c r="D522" s="46" t="str" cm="1">
        <f t="array" ref="D522">_xlfn.XLOOKUP(C522,customers[Customer ID],customers[Gender],"")</f>
        <v>Female</v>
      </c>
      <c r="E522" s="46" cm="1">
        <f t="array" ref="E522">_xlfn.XLOOKUP(C522,customers[Customer ID],customers[Age],"")</f>
        <v>38</v>
      </c>
      <c r="F522" s="46" t="str" cm="1">
        <f t="array" ref="F522">_xlfn.XLOOKUP(C522,customers[Customer ID],customers[City],"")</f>
        <v>Columbus</v>
      </c>
      <c r="G522">
        <v>94</v>
      </c>
      <c r="H522" s="47" t="s">
        <v>37</v>
      </c>
      <c r="I522" s="48">
        <v>45077</v>
      </c>
      <c r="J522">
        <v>100</v>
      </c>
      <c r="K522">
        <v>3.7</v>
      </c>
      <c r="L522">
        <f>IF(MONTH(calls[[#This Row],[Date of Call]])&lt;=6,YEAR(calls[[#This Row],[Date of Call]]),YEAR(calls[[#This Row],[Date of Call]])+1)</f>
        <v>2023</v>
      </c>
      <c r="M522" t="str">
        <f>TEXT(calls[[#This Row],[Date of Call]],"DDDD")</f>
        <v>Wednesday</v>
      </c>
      <c r="N522" t="str" cm="1">
        <f t="array" ref="N52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22">
        <f>ROUND(calls[[#This Row],[Satisfaction Rating]],0)</f>
        <v>4</v>
      </c>
      <c r="P522" s="53">
        <f t="shared" si="8"/>
        <v>307</v>
      </c>
    </row>
    <row r="523" spans="2:16">
      <c r="B523" t="s">
        <v>603</v>
      </c>
      <c r="C523" t="s">
        <v>73</v>
      </c>
      <c r="D523" s="46" t="str" cm="1">
        <f t="array" ref="D523">_xlfn.XLOOKUP(C523,customers[Customer ID],customers[Gender],"")</f>
        <v>Female</v>
      </c>
      <c r="E523" s="46" cm="1">
        <f t="array" ref="E523">_xlfn.XLOOKUP(C523,customers[Customer ID],customers[Age],"")</f>
        <v>38</v>
      </c>
      <c r="F523" s="46" t="str" cm="1">
        <f t="array" ref="F523">_xlfn.XLOOKUP(C523,customers[Customer ID],customers[City],"")</f>
        <v>Columbus</v>
      </c>
      <c r="G523">
        <v>51</v>
      </c>
      <c r="H523" s="47" t="s">
        <v>37</v>
      </c>
      <c r="I523" s="48">
        <v>45078</v>
      </c>
      <c r="J523">
        <v>108</v>
      </c>
      <c r="K523">
        <v>4.5</v>
      </c>
      <c r="L523">
        <f>IF(MONTH(calls[[#This Row],[Date of Call]])&lt;=6,YEAR(calls[[#This Row],[Date of Call]]),YEAR(calls[[#This Row],[Date of Call]])+1)</f>
        <v>2023</v>
      </c>
      <c r="M523" t="str">
        <f>TEXT(calls[[#This Row],[Date of Call]],"DDDD")</f>
        <v>Thursday</v>
      </c>
      <c r="N523" t="str" cm="1">
        <f t="array" ref="N52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23">
        <f>ROUND(calls[[#This Row],[Satisfaction Rating]],0)</f>
        <v>5</v>
      </c>
      <c r="P523" s="53">
        <f t="shared" si="8"/>
        <v>307</v>
      </c>
    </row>
    <row r="524" spans="2:16">
      <c r="B524" t="s">
        <v>604</v>
      </c>
      <c r="C524" t="s">
        <v>65</v>
      </c>
      <c r="D524" s="46" t="str" cm="1">
        <f t="array" ref="D524">_xlfn.XLOOKUP(C524,customers[Customer ID],customers[Gender],"")</f>
        <v>Female</v>
      </c>
      <c r="E524" s="46" cm="1">
        <f t="array" ref="E524">_xlfn.XLOOKUP(C524,customers[Customer ID],customers[Age],"")</f>
        <v>42</v>
      </c>
      <c r="F524" s="46" t="str" cm="1">
        <f t="array" ref="F524">_xlfn.XLOOKUP(C524,customers[Customer ID],customers[City],"")</f>
        <v>Cleveland</v>
      </c>
      <c r="G524">
        <v>39</v>
      </c>
      <c r="H524" s="47" t="s">
        <v>37</v>
      </c>
      <c r="I524" s="48">
        <v>45078</v>
      </c>
      <c r="J524">
        <v>46</v>
      </c>
      <c r="K524">
        <v>4.6</v>
      </c>
      <c r="L524">
        <f>IF(MONTH(calls[[#This Row],[Date of Call]])&lt;=6,YEAR(calls[[#This Row],[Date of Call]]),YEAR(calls[[#This Row],[Date of Call]])+1)</f>
        <v>2023</v>
      </c>
      <c r="M524" t="str">
        <f>TEXT(calls[[#This Row],[Date of Call]],"DDDD")</f>
        <v>Thursday</v>
      </c>
      <c r="N524" t="str" cm="1">
        <f t="array" ref="N52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24">
        <f>ROUND(calls[[#This Row],[Satisfaction Rating]],0)</f>
        <v>5</v>
      </c>
      <c r="P524" s="53">
        <f t="shared" si="8"/>
        <v>307</v>
      </c>
    </row>
    <row r="525" spans="2:16">
      <c r="B525" t="s">
        <v>605</v>
      </c>
      <c r="C525" t="s">
        <v>67</v>
      </c>
      <c r="D525" s="46" t="str" cm="1">
        <f t="array" ref="D525">_xlfn.XLOOKUP(C525,customers[Customer ID],customers[Gender],"")</f>
        <v>Female</v>
      </c>
      <c r="E525" s="46" cm="1">
        <f t="array" ref="E525">_xlfn.XLOOKUP(C525,customers[Customer ID],customers[Age],"")</f>
        <v>37</v>
      </c>
      <c r="F525" s="46" t="str" cm="1">
        <f t="array" ref="F525">_xlfn.XLOOKUP(C525,customers[Customer ID],customers[City],"")</f>
        <v>Cleveland</v>
      </c>
      <c r="G525">
        <v>111</v>
      </c>
      <c r="H525" s="47" t="s">
        <v>38</v>
      </c>
      <c r="I525" s="48">
        <v>45078</v>
      </c>
      <c r="J525">
        <v>210</v>
      </c>
      <c r="K525">
        <v>4.3</v>
      </c>
      <c r="L525">
        <f>IF(MONTH(calls[[#This Row],[Date of Call]])&lt;=6,YEAR(calls[[#This Row],[Date of Call]]),YEAR(calls[[#This Row],[Date of Call]])+1)</f>
        <v>2023</v>
      </c>
      <c r="M525" t="str">
        <f>TEXT(calls[[#This Row],[Date of Call]],"DDDD")</f>
        <v>Thursday</v>
      </c>
      <c r="N525" t="str" cm="1">
        <f t="array" ref="N52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25">
        <f>ROUND(calls[[#This Row],[Satisfaction Rating]],0)</f>
        <v>4</v>
      </c>
      <c r="P525" s="53">
        <f t="shared" si="8"/>
        <v>307</v>
      </c>
    </row>
    <row r="526" spans="2:16">
      <c r="B526" t="s">
        <v>606</v>
      </c>
      <c r="C526" t="s">
        <v>62</v>
      </c>
      <c r="D526" s="46" t="str" cm="1">
        <f t="array" ref="D526">_xlfn.XLOOKUP(C526,customers[Customer ID],customers[Gender],"")</f>
        <v>Female</v>
      </c>
      <c r="E526" s="46" cm="1">
        <f t="array" ref="E526">_xlfn.XLOOKUP(C526,customers[Customer ID],customers[Age],"")</f>
        <v>28</v>
      </c>
      <c r="F526" s="46" t="str" cm="1">
        <f t="array" ref="F526">_xlfn.XLOOKUP(C526,customers[Customer ID],customers[City],"")</f>
        <v>Cincinnati</v>
      </c>
      <c r="G526">
        <v>141</v>
      </c>
      <c r="H526" s="47" t="s">
        <v>36</v>
      </c>
      <c r="I526" s="48">
        <v>45080</v>
      </c>
      <c r="J526">
        <v>54</v>
      </c>
      <c r="K526">
        <v>4.8</v>
      </c>
      <c r="L526">
        <f>IF(MONTH(calls[[#This Row],[Date of Call]])&lt;=6,YEAR(calls[[#This Row],[Date of Call]]),YEAR(calls[[#This Row],[Date of Call]])+1)</f>
        <v>2023</v>
      </c>
      <c r="M526" t="str">
        <f>TEXT(calls[[#This Row],[Date of Call]],"DDDD")</f>
        <v>Saturday</v>
      </c>
      <c r="N526" t="str" cm="1">
        <f t="array" ref="N52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26">
        <f>ROUND(calls[[#This Row],[Satisfaction Rating]],0)</f>
        <v>5</v>
      </c>
      <c r="P526" s="53">
        <f t="shared" si="8"/>
        <v>307</v>
      </c>
    </row>
    <row r="527" spans="2:16">
      <c r="B527" t="s">
        <v>607</v>
      </c>
      <c r="C527" t="s">
        <v>64</v>
      </c>
      <c r="D527" s="46" t="str" cm="1">
        <f t="array" ref="D527">_xlfn.XLOOKUP(C527,customers[Customer ID],customers[Gender],"")</f>
        <v>Female</v>
      </c>
      <c r="E527" s="46" cm="1">
        <f t="array" ref="E527">_xlfn.XLOOKUP(C527,customers[Customer ID],customers[Age],"")</f>
        <v>22</v>
      </c>
      <c r="F527" s="46" t="str" cm="1">
        <f t="array" ref="F527">_xlfn.XLOOKUP(C527,customers[Customer ID],customers[City],"")</f>
        <v>Cleveland</v>
      </c>
      <c r="G527">
        <v>147</v>
      </c>
      <c r="H527" s="47" t="s">
        <v>38</v>
      </c>
      <c r="I527" s="48">
        <v>45080</v>
      </c>
      <c r="J527">
        <v>115</v>
      </c>
      <c r="K527">
        <v>4.7</v>
      </c>
      <c r="L527">
        <f>IF(MONTH(calls[[#This Row],[Date of Call]])&lt;=6,YEAR(calls[[#This Row],[Date of Call]]),YEAR(calls[[#This Row],[Date of Call]])+1)</f>
        <v>2023</v>
      </c>
      <c r="M527" t="str">
        <f>TEXT(calls[[#This Row],[Date of Call]],"DDDD")</f>
        <v>Saturday</v>
      </c>
      <c r="N527" t="str" cm="1">
        <f t="array" ref="N52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27">
        <f>ROUND(calls[[#This Row],[Satisfaction Rating]],0)</f>
        <v>5</v>
      </c>
      <c r="P527" s="53">
        <f t="shared" si="8"/>
        <v>307</v>
      </c>
    </row>
    <row r="528" spans="2:16">
      <c r="B528" t="s">
        <v>608</v>
      </c>
      <c r="C528" t="s">
        <v>68</v>
      </c>
      <c r="D528" s="46" t="str" cm="1">
        <f t="array" ref="D528">_xlfn.XLOOKUP(C528,customers[Customer ID],customers[Gender],"")</f>
        <v>Female</v>
      </c>
      <c r="E528" s="46" cm="1">
        <f t="array" ref="E528">_xlfn.XLOOKUP(C528,customers[Customer ID],customers[Age],"")</f>
        <v>43</v>
      </c>
      <c r="F528" s="46" t="str" cm="1">
        <f t="array" ref="F528">_xlfn.XLOOKUP(C528,customers[Customer ID],customers[City],"")</f>
        <v>Cleveland</v>
      </c>
      <c r="G528">
        <v>49</v>
      </c>
      <c r="H528" s="47" t="s">
        <v>37</v>
      </c>
      <c r="I528" s="48">
        <v>45081</v>
      </c>
      <c r="J528">
        <v>100</v>
      </c>
      <c r="K528">
        <v>2.2</v>
      </c>
      <c r="L528">
        <f>IF(MONTH(calls[[#This Row],[Date of Call]])&lt;=6,YEAR(calls[[#This Row],[Date of Call]]),YEAR(calls[[#This Row],[Date of Call]])+1)</f>
        <v>2023</v>
      </c>
      <c r="M528" t="str">
        <f>TEXT(calls[[#This Row],[Date of Call]],"DDDD")</f>
        <v>Sunday</v>
      </c>
      <c r="N528" t="str" cm="1">
        <f t="array" ref="N52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28">
        <f>ROUND(calls[[#This Row],[Satisfaction Rating]],0)</f>
        <v>2</v>
      </c>
      <c r="P528" s="53">
        <f t="shared" si="8"/>
        <v>307</v>
      </c>
    </row>
    <row r="529" spans="2:16">
      <c r="B529" t="s">
        <v>609</v>
      </c>
      <c r="C529" t="s">
        <v>70</v>
      </c>
      <c r="D529" s="46" t="str" cm="1">
        <f t="array" ref="D529">_xlfn.XLOOKUP(C529,customers[Customer ID],customers[Gender],"")</f>
        <v>Male</v>
      </c>
      <c r="E529" s="46" cm="1">
        <f t="array" ref="E529">_xlfn.XLOOKUP(C529,customers[Customer ID],customers[Age],"")</f>
        <v>37</v>
      </c>
      <c r="F529" s="46" t="str" cm="1">
        <f t="array" ref="F529">_xlfn.XLOOKUP(C529,customers[Customer ID],customers[City],"")</f>
        <v>Columbus</v>
      </c>
      <c r="G529">
        <v>75</v>
      </c>
      <c r="H529" s="47" t="s">
        <v>38</v>
      </c>
      <c r="I529" s="48">
        <v>45081</v>
      </c>
      <c r="J529">
        <v>38</v>
      </c>
      <c r="K529">
        <v>4.4</v>
      </c>
      <c r="L529">
        <f>IF(MONTH(calls[[#This Row],[Date of Call]])&lt;=6,YEAR(calls[[#This Row],[Date of Call]]),YEAR(calls[[#This Row],[Date of Call]])+1)</f>
        <v>2023</v>
      </c>
      <c r="M529" t="str">
        <f>TEXT(calls[[#This Row],[Date of Call]],"DDDD")</f>
        <v>Sunday</v>
      </c>
      <c r="N529" t="str" cm="1">
        <f t="array" ref="N5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29">
        <f>ROUND(calls[[#This Row],[Satisfaction Rating]],0)</f>
        <v>4</v>
      </c>
      <c r="P529" s="53">
        <f t="shared" si="8"/>
        <v>307</v>
      </c>
    </row>
    <row r="530" spans="2:16">
      <c r="B530" t="s">
        <v>610</v>
      </c>
      <c r="C530" t="s">
        <v>62</v>
      </c>
      <c r="D530" s="46" t="str" cm="1">
        <f t="array" ref="D530">_xlfn.XLOOKUP(C530,customers[Customer ID],customers[Gender],"")</f>
        <v>Female</v>
      </c>
      <c r="E530" s="46" cm="1">
        <f t="array" ref="E530">_xlfn.XLOOKUP(C530,customers[Customer ID],customers[Age],"")</f>
        <v>28</v>
      </c>
      <c r="F530" s="46" t="str" cm="1">
        <f t="array" ref="F530">_xlfn.XLOOKUP(C530,customers[Customer ID],customers[City],"")</f>
        <v>Cincinnati</v>
      </c>
      <c r="G530">
        <v>48</v>
      </c>
      <c r="H530" s="47" t="s">
        <v>36</v>
      </c>
      <c r="I530" s="48">
        <v>45082</v>
      </c>
      <c r="J530">
        <v>120</v>
      </c>
      <c r="K530">
        <v>4.1</v>
      </c>
      <c r="L530">
        <f>IF(MONTH(calls[[#This Row],[Date of Call]])&lt;=6,YEAR(calls[[#This Row],[Date of Call]]),YEAR(calls[[#This Row],[Date of Call]])+1)</f>
        <v>2023</v>
      </c>
      <c r="M530" t="str">
        <f>TEXT(calls[[#This Row],[Date of Call]],"DDDD")</f>
        <v>Monday</v>
      </c>
      <c r="N530" t="str" cm="1">
        <f t="array" ref="N53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30">
        <f>ROUND(calls[[#This Row],[Satisfaction Rating]],0)</f>
        <v>4</v>
      </c>
      <c r="P530" s="53">
        <f t="shared" si="8"/>
        <v>307</v>
      </c>
    </row>
    <row r="531" spans="2:16">
      <c r="B531" t="s">
        <v>611</v>
      </c>
      <c r="C531" t="s">
        <v>72</v>
      </c>
      <c r="D531" s="46" t="str" cm="1">
        <f t="array" ref="D531">_xlfn.XLOOKUP(C531,customers[Customer ID],customers[Gender],"")</f>
        <v>Female</v>
      </c>
      <c r="E531" s="46" cm="1">
        <f t="array" ref="E531">_xlfn.XLOOKUP(C531,customers[Customer ID],customers[Age],"")</f>
        <v>25</v>
      </c>
      <c r="F531" s="46" t="str" cm="1">
        <f t="array" ref="F531">_xlfn.XLOOKUP(C531,customers[Customer ID],customers[City],"")</f>
        <v>Columbus</v>
      </c>
      <c r="G531">
        <v>48</v>
      </c>
      <c r="H531" s="47" t="s">
        <v>36</v>
      </c>
      <c r="I531" s="48">
        <v>45082</v>
      </c>
      <c r="J531">
        <v>120</v>
      </c>
      <c r="K531">
        <v>4.1</v>
      </c>
      <c r="L531">
        <f>IF(MONTH(calls[[#This Row],[Date of Call]])&lt;=6,YEAR(calls[[#This Row],[Date of Call]]),YEAR(calls[[#This Row],[Date of Call]])+1)</f>
        <v>2023</v>
      </c>
      <c r="M531" t="str">
        <f>TEXT(calls[[#This Row],[Date of Call]],"DDDD")</f>
        <v>Monday</v>
      </c>
      <c r="N531" t="str" cm="1">
        <f t="array" ref="N53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31">
        <f>ROUND(calls[[#This Row],[Satisfaction Rating]],0)</f>
        <v>4</v>
      </c>
      <c r="P531" s="53">
        <f t="shared" si="8"/>
        <v>307</v>
      </c>
    </row>
    <row r="532" spans="2:16">
      <c r="B532" t="s">
        <v>612</v>
      </c>
      <c r="C532" t="s">
        <v>60</v>
      </c>
      <c r="D532" s="46" t="str" cm="1">
        <f t="array" ref="D532">_xlfn.XLOOKUP(C532,customers[Customer ID],customers[Gender],"")</f>
        <v>Male</v>
      </c>
      <c r="E532" s="46" cm="1">
        <f t="array" ref="E532">_xlfn.XLOOKUP(C532,customers[Customer ID],customers[Age],"")</f>
        <v>36</v>
      </c>
      <c r="F532" s="46" t="str" cm="1">
        <f t="array" ref="F532">_xlfn.XLOOKUP(C532,customers[Customer ID],customers[City],"")</f>
        <v>Cincinnati</v>
      </c>
      <c r="G532">
        <v>138</v>
      </c>
      <c r="H532" s="47" t="s">
        <v>37</v>
      </c>
      <c r="I532" s="48">
        <v>45082</v>
      </c>
      <c r="J532">
        <v>29</v>
      </c>
      <c r="K532">
        <v>4.4</v>
      </c>
      <c r="L532">
        <f>IF(MONTH(calls[[#This Row],[Date of Call]])&lt;=6,YEAR(calls[[#This Row],[Date of Call]]),YEAR(calls[[#This Row],[Date of Call]])+1)</f>
        <v>2023</v>
      </c>
      <c r="M532" t="str">
        <f>TEXT(calls[[#This Row],[Date of Call]],"DDDD")</f>
        <v>Monday</v>
      </c>
      <c r="N532" t="str" cm="1">
        <f t="array" ref="N53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32">
        <f>ROUND(calls[[#This Row],[Satisfaction Rating]],0)</f>
        <v>4</v>
      </c>
      <c r="P532" s="53">
        <f t="shared" si="8"/>
        <v>307</v>
      </c>
    </row>
    <row r="533" spans="2:16">
      <c r="B533" t="s">
        <v>613</v>
      </c>
      <c r="C533" t="s">
        <v>71</v>
      </c>
      <c r="D533" s="46" t="str" cm="1">
        <f t="array" ref="D533">_xlfn.XLOOKUP(C533,customers[Customer ID],customers[Gender],"")</f>
        <v>Male</v>
      </c>
      <c r="E533" s="46" cm="1">
        <f t="array" ref="E533">_xlfn.XLOOKUP(C533,customers[Customer ID],customers[Age],"")</f>
        <v>23</v>
      </c>
      <c r="F533" s="46" t="str" cm="1">
        <f t="array" ref="F533">_xlfn.XLOOKUP(C533,customers[Customer ID],customers[City],"")</f>
        <v>Columbus</v>
      </c>
      <c r="G533">
        <v>144</v>
      </c>
      <c r="H533" s="47" t="s">
        <v>37</v>
      </c>
      <c r="I533" s="48">
        <v>45083</v>
      </c>
      <c r="J533">
        <v>25</v>
      </c>
      <c r="K533">
        <v>3.7</v>
      </c>
      <c r="L533">
        <f>IF(MONTH(calls[[#This Row],[Date of Call]])&lt;=6,YEAR(calls[[#This Row],[Date of Call]]),YEAR(calls[[#This Row],[Date of Call]])+1)</f>
        <v>2023</v>
      </c>
      <c r="M533" t="str">
        <f>TEXT(calls[[#This Row],[Date of Call]],"DDDD")</f>
        <v>Tuesday</v>
      </c>
      <c r="N533" t="str" cm="1">
        <f t="array" ref="N53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33">
        <f>ROUND(calls[[#This Row],[Satisfaction Rating]],0)</f>
        <v>4</v>
      </c>
      <c r="P533" s="53">
        <f t="shared" si="8"/>
        <v>307</v>
      </c>
    </row>
    <row r="534" spans="2:16">
      <c r="B534" t="s">
        <v>614</v>
      </c>
      <c r="C534" t="s">
        <v>69</v>
      </c>
      <c r="D534" s="46" t="str" cm="1">
        <f t="array" ref="D534">_xlfn.XLOOKUP(C534,customers[Customer ID],customers[Gender],"")</f>
        <v>Male</v>
      </c>
      <c r="E534" s="46" cm="1">
        <f t="array" ref="E534">_xlfn.XLOOKUP(C534,customers[Customer ID],customers[Age],"")</f>
        <v>41</v>
      </c>
      <c r="F534" s="46" t="str" cm="1">
        <f t="array" ref="F534">_xlfn.XLOOKUP(C534,customers[Customer ID],customers[City],"")</f>
        <v>Columbus</v>
      </c>
      <c r="G534">
        <v>119</v>
      </c>
      <c r="H534" s="47" t="s">
        <v>38</v>
      </c>
      <c r="I534" s="48">
        <v>45084</v>
      </c>
      <c r="J534">
        <v>116</v>
      </c>
      <c r="K534">
        <v>3.8</v>
      </c>
      <c r="L534">
        <f>IF(MONTH(calls[[#This Row],[Date of Call]])&lt;=6,YEAR(calls[[#This Row],[Date of Call]]),YEAR(calls[[#This Row],[Date of Call]])+1)</f>
        <v>2023</v>
      </c>
      <c r="M534" t="str">
        <f>TEXT(calls[[#This Row],[Date of Call]],"DDDD")</f>
        <v>Wednesday</v>
      </c>
      <c r="N534" t="str" cm="1">
        <f t="array" ref="N53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34">
        <f>ROUND(calls[[#This Row],[Satisfaction Rating]],0)</f>
        <v>4</v>
      </c>
      <c r="P534" s="53">
        <f t="shared" si="8"/>
        <v>307</v>
      </c>
    </row>
    <row r="535" spans="2:16">
      <c r="B535" t="s">
        <v>615</v>
      </c>
      <c r="C535" t="s">
        <v>60</v>
      </c>
      <c r="D535" s="46" t="str" cm="1">
        <f t="array" ref="D535">_xlfn.XLOOKUP(C535,customers[Customer ID],customers[Gender],"")</f>
        <v>Male</v>
      </c>
      <c r="E535" s="46" cm="1">
        <f t="array" ref="E535">_xlfn.XLOOKUP(C535,customers[Customer ID],customers[Age],"")</f>
        <v>36</v>
      </c>
      <c r="F535" s="46" t="str" cm="1">
        <f t="array" ref="F535">_xlfn.XLOOKUP(C535,customers[Customer ID],customers[City],"")</f>
        <v>Cincinnati</v>
      </c>
      <c r="G535">
        <v>101</v>
      </c>
      <c r="H535" s="47" t="s">
        <v>36</v>
      </c>
      <c r="I535" s="48">
        <v>45085</v>
      </c>
      <c r="J535">
        <v>132</v>
      </c>
      <c r="K535">
        <v>4.3</v>
      </c>
      <c r="L535">
        <f>IF(MONTH(calls[[#This Row],[Date of Call]])&lt;=6,YEAR(calls[[#This Row],[Date of Call]]),YEAR(calls[[#This Row],[Date of Call]])+1)</f>
        <v>2023</v>
      </c>
      <c r="M535" t="str">
        <f>TEXT(calls[[#This Row],[Date of Call]],"DDDD")</f>
        <v>Thursday</v>
      </c>
      <c r="N535" t="str" cm="1">
        <f t="array" ref="N53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35">
        <f>ROUND(calls[[#This Row],[Satisfaction Rating]],0)</f>
        <v>4</v>
      </c>
      <c r="P535" s="53">
        <f t="shared" si="8"/>
        <v>307</v>
      </c>
    </row>
    <row r="536" spans="2:16">
      <c r="B536" t="s">
        <v>616</v>
      </c>
      <c r="C536" t="s">
        <v>71</v>
      </c>
      <c r="D536" s="46" t="str" cm="1">
        <f t="array" ref="D536">_xlfn.XLOOKUP(C536,customers[Customer ID],customers[Gender],"")</f>
        <v>Male</v>
      </c>
      <c r="E536" s="46" cm="1">
        <f t="array" ref="E536">_xlfn.XLOOKUP(C536,customers[Customer ID],customers[Age],"")</f>
        <v>23</v>
      </c>
      <c r="F536" s="46" t="str" cm="1">
        <f t="array" ref="F536">_xlfn.XLOOKUP(C536,customers[Customer ID],customers[City],"")</f>
        <v>Columbus</v>
      </c>
      <c r="G536">
        <v>59</v>
      </c>
      <c r="H536" s="47" t="s">
        <v>38</v>
      </c>
      <c r="I536" s="48">
        <v>45086</v>
      </c>
      <c r="J536">
        <v>90</v>
      </c>
      <c r="K536">
        <v>3.5</v>
      </c>
      <c r="L536">
        <f>IF(MONTH(calls[[#This Row],[Date of Call]])&lt;=6,YEAR(calls[[#This Row],[Date of Call]]),YEAR(calls[[#This Row],[Date of Call]])+1)</f>
        <v>2023</v>
      </c>
      <c r="M536" t="str">
        <f>TEXT(calls[[#This Row],[Date of Call]],"DDDD")</f>
        <v>Friday</v>
      </c>
      <c r="N536" t="str" cm="1">
        <f t="array" ref="N53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36">
        <f>ROUND(calls[[#This Row],[Satisfaction Rating]],0)</f>
        <v>4</v>
      </c>
      <c r="P536" s="53">
        <f t="shared" si="8"/>
        <v>307</v>
      </c>
    </row>
    <row r="537" spans="2:16">
      <c r="B537" t="s">
        <v>617</v>
      </c>
      <c r="C537" t="s">
        <v>67</v>
      </c>
      <c r="D537" s="46" t="str" cm="1">
        <f t="array" ref="D537">_xlfn.XLOOKUP(C537,customers[Customer ID],customers[Gender],"")</f>
        <v>Female</v>
      </c>
      <c r="E537" s="46" cm="1">
        <f t="array" ref="E537">_xlfn.XLOOKUP(C537,customers[Customer ID],customers[Age],"")</f>
        <v>37</v>
      </c>
      <c r="F537" s="46" t="str" cm="1">
        <f t="array" ref="F537">_xlfn.XLOOKUP(C537,customers[Customer ID],customers[City],"")</f>
        <v>Cleveland</v>
      </c>
      <c r="G537">
        <v>125</v>
      </c>
      <c r="H537" s="47" t="s">
        <v>40</v>
      </c>
      <c r="I537" s="48">
        <v>45086</v>
      </c>
      <c r="J537">
        <v>87</v>
      </c>
      <c r="K537">
        <v>4.1</v>
      </c>
      <c r="L537">
        <f>IF(MONTH(calls[[#This Row],[Date of Call]])&lt;=6,YEAR(calls[[#This Row],[Date of Call]]),YEAR(calls[[#This Row],[Date of Call]])+1)</f>
        <v>2023</v>
      </c>
      <c r="M537" t="str">
        <f>TEXT(calls[[#This Row],[Date of Call]],"DDDD")</f>
        <v>Friday</v>
      </c>
      <c r="N537" t="str" cm="1">
        <f t="array" ref="N53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37">
        <f>ROUND(calls[[#This Row],[Satisfaction Rating]],0)</f>
        <v>4</v>
      </c>
      <c r="P537" s="53">
        <f t="shared" si="8"/>
        <v>307</v>
      </c>
    </row>
    <row r="538" spans="2:16">
      <c r="B538" t="s">
        <v>618</v>
      </c>
      <c r="C538" t="s">
        <v>66</v>
      </c>
      <c r="D538" s="46" t="str" cm="1">
        <f t="array" ref="D538">_xlfn.XLOOKUP(C538,customers[Customer ID],customers[Gender],"")</f>
        <v>Female</v>
      </c>
      <c r="E538" s="46" cm="1">
        <f t="array" ref="E538">_xlfn.XLOOKUP(C538,customers[Customer ID],customers[Age],"")</f>
        <v>30</v>
      </c>
      <c r="F538" s="46" t="str" cm="1">
        <f t="array" ref="F538">_xlfn.XLOOKUP(C538,customers[Customer ID],customers[City],"")</f>
        <v>Cleveland</v>
      </c>
      <c r="G538">
        <v>147</v>
      </c>
      <c r="H538" s="47" t="s">
        <v>38</v>
      </c>
      <c r="I538" s="48">
        <v>45086</v>
      </c>
      <c r="J538">
        <v>140</v>
      </c>
      <c r="K538">
        <v>4.2</v>
      </c>
      <c r="L538">
        <f>IF(MONTH(calls[[#This Row],[Date of Call]])&lt;=6,YEAR(calls[[#This Row],[Date of Call]]),YEAR(calls[[#This Row],[Date of Call]])+1)</f>
        <v>2023</v>
      </c>
      <c r="M538" t="str">
        <f>TEXT(calls[[#This Row],[Date of Call]],"DDDD")</f>
        <v>Friday</v>
      </c>
      <c r="N538" t="str" cm="1">
        <f t="array" ref="N53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38">
        <f>ROUND(calls[[#This Row],[Satisfaction Rating]],0)</f>
        <v>4</v>
      </c>
      <c r="P538" s="53">
        <f t="shared" si="8"/>
        <v>307</v>
      </c>
    </row>
    <row r="539" spans="2:16">
      <c r="B539" t="s">
        <v>619</v>
      </c>
      <c r="C539" t="s">
        <v>63</v>
      </c>
      <c r="D539" s="46" t="str" cm="1">
        <f t="array" ref="D539">_xlfn.XLOOKUP(C539,customers[Customer ID],customers[Gender],"")</f>
        <v>Male</v>
      </c>
      <c r="E539" s="46" cm="1">
        <f t="array" ref="E539">_xlfn.XLOOKUP(C539,customers[Customer ID],customers[Age],"")</f>
        <v>31</v>
      </c>
      <c r="F539" s="46" t="str" cm="1">
        <f t="array" ref="F539">_xlfn.XLOOKUP(C539,customers[Customer ID],customers[City],"")</f>
        <v>Cleveland</v>
      </c>
      <c r="G539">
        <v>76</v>
      </c>
      <c r="H539" s="47" t="s">
        <v>38</v>
      </c>
      <c r="I539" s="48">
        <v>45086</v>
      </c>
      <c r="J539">
        <v>164</v>
      </c>
      <c r="K539">
        <v>4.5</v>
      </c>
      <c r="L539">
        <f>IF(MONTH(calls[[#This Row],[Date of Call]])&lt;=6,YEAR(calls[[#This Row],[Date of Call]]),YEAR(calls[[#This Row],[Date of Call]])+1)</f>
        <v>2023</v>
      </c>
      <c r="M539" t="str">
        <f>TEXT(calls[[#This Row],[Date of Call]],"DDDD")</f>
        <v>Friday</v>
      </c>
      <c r="N539" t="str" cm="1">
        <f t="array" ref="N5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39">
        <f>ROUND(calls[[#This Row],[Satisfaction Rating]],0)</f>
        <v>5</v>
      </c>
      <c r="P539" s="53">
        <f t="shared" si="8"/>
        <v>307</v>
      </c>
    </row>
    <row r="540" spans="2:16">
      <c r="B540" t="s">
        <v>620</v>
      </c>
      <c r="C540" t="s">
        <v>64</v>
      </c>
      <c r="D540" s="46" t="str" cm="1">
        <f t="array" ref="D540">_xlfn.XLOOKUP(C540,customers[Customer ID],customers[Gender],"")</f>
        <v>Female</v>
      </c>
      <c r="E540" s="46" cm="1">
        <f t="array" ref="E540">_xlfn.XLOOKUP(C540,customers[Customer ID],customers[Age],"")</f>
        <v>22</v>
      </c>
      <c r="F540" s="46" t="str" cm="1">
        <f t="array" ref="F540">_xlfn.XLOOKUP(C540,customers[Customer ID],customers[City],"")</f>
        <v>Cleveland</v>
      </c>
      <c r="G540">
        <v>99</v>
      </c>
      <c r="H540" s="47" t="s">
        <v>36</v>
      </c>
      <c r="I540" s="48">
        <v>45087</v>
      </c>
      <c r="J540">
        <v>180</v>
      </c>
      <c r="K540">
        <v>3.8</v>
      </c>
      <c r="L540">
        <f>IF(MONTH(calls[[#This Row],[Date of Call]])&lt;=6,YEAR(calls[[#This Row],[Date of Call]]),YEAR(calls[[#This Row],[Date of Call]])+1)</f>
        <v>2023</v>
      </c>
      <c r="M540" t="str">
        <f>TEXT(calls[[#This Row],[Date of Call]],"DDDD")</f>
        <v>Saturday</v>
      </c>
      <c r="N540" t="str" cm="1">
        <f t="array" ref="N5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40">
        <f>ROUND(calls[[#This Row],[Satisfaction Rating]],0)</f>
        <v>4</v>
      </c>
      <c r="P540" s="53">
        <f t="shared" si="8"/>
        <v>307</v>
      </c>
    </row>
    <row r="541" spans="2:16">
      <c r="B541" t="s">
        <v>621</v>
      </c>
      <c r="C541" t="s">
        <v>65</v>
      </c>
      <c r="D541" s="46" t="str" cm="1">
        <f t="array" ref="D541">_xlfn.XLOOKUP(C541,customers[Customer ID],customers[Gender],"")</f>
        <v>Female</v>
      </c>
      <c r="E541" s="46" cm="1">
        <f t="array" ref="E541">_xlfn.XLOOKUP(C541,customers[Customer ID],customers[Age],"")</f>
        <v>42</v>
      </c>
      <c r="F541" s="46" t="str" cm="1">
        <f t="array" ref="F541">_xlfn.XLOOKUP(C541,customers[Customer ID],customers[City],"")</f>
        <v>Cleveland</v>
      </c>
      <c r="G541">
        <v>111</v>
      </c>
      <c r="H541" s="47" t="s">
        <v>39</v>
      </c>
      <c r="I541" s="48">
        <v>45088</v>
      </c>
      <c r="J541">
        <v>22</v>
      </c>
      <c r="K541">
        <v>4.1</v>
      </c>
      <c r="L541">
        <f>IF(MONTH(calls[[#This Row],[Date of Call]])&lt;=6,YEAR(calls[[#This Row],[Date of Call]]),YEAR(calls[[#This Row],[Date of Call]])+1)</f>
        <v>2023</v>
      </c>
      <c r="M541" t="str">
        <f>TEXT(calls[[#This Row],[Date of Call]],"DDDD")</f>
        <v>Sunday</v>
      </c>
      <c r="N541" t="str" cm="1">
        <f t="array" ref="N5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41">
        <f>ROUND(calls[[#This Row],[Satisfaction Rating]],0)</f>
        <v>4</v>
      </c>
      <c r="P541" s="53">
        <f t="shared" si="8"/>
        <v>307</v>
      </c>
    </row>
    <row r="542" spans="2:16">
      <c r="B542" t="s">
        <v>622</v>
      </c>
      <c r="C542" t="s">
        <v>61</v>
      </c>
      <c r="D542" s="46" t="str" cm="1">
        <f t="array" ref="D542">_xlfn.XLOOKUP(C542,customers[Customer ID],customers[Gender],"")</f>
        <v>Female</v>
      </c>
      <c r="E542" s="46" cm="1">
        <f t="array" ref="E542">_xlfn.XLOOKUP(C542,customers[Customer ID],customers[Age],"")</f>
        <v>30</v>
      </c>
      <c r="F542" s="46" t="str" cm="1">
        <f t="array" ref="F542">_xlfn.XLOOKUP(C542,customers[Customer ID],customers[City],"")</f>
        <v>Cincinnati</v>
      </c>
      <c r="G542">
        <v>147</v>
      </c>
      <c r="H542" s="47" t="s">
        <v>40</v>
      </c>
      <c r="I542" s="48">
        <v>45088</v>
      </c>
      <c r="J542">
        <v>82</v>
      </c>
      <c r="K542">
        <v>4.4</v>
      </c>
      <c r="L542">
        <f>IF(MONTH(calls[[#This Row],[Date of Call]])&lt;=6,YEAR(calls[[#This Row],[Date of Call]]),YEAR(calls[[#This Row],[Date of Call]])+1)</f>
        <v>2023</v>
      </c>
      <c r="M542" t="str">
        <f>TEXT(calls[[#This Row],[Date of Call]],"DDDD")</f>
        <v>Sunday</v>
      </c>
      <c r="N542" t="str" cm="1">
        <f t="array" ref="N54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42">
        <f>ROUND(calls[[#This Row],[Satisfaction Rating]],0)</f>
        <v>4</v>
      </c>
      <c r="P542" s="53">
        <f t="shared" si="8"/>
        <v>307</v>
      </c>
    </row>
    <row r="543" spans="2:16">
      <c r="B543" t="s">
        <v>623</v>
      </c>
      <c r="C543" t="s">
        <v>59</v>
      </c>
      <c r="D543" s="46" t="str" cm="1">
        <f t="array" ref="D543">_xlfn.XLOOKUP(C543,customers[Customer ID],customers[Gender],"")</f>
        <v>Male</v>
      </c>
      <c r="E543" s="46" cm="1">
        <f t="array" ref="E543">_xlfn.XLOOKUP(C543,customers[Customer ID],customers[Age],"")</f>
        <v>26</v>
      </c>
      <c r="F543" s="46" t="str" cm="1">
        <f t="array" ref="F543">_xlfn.XLOOKUP(C543,customers[Customer ID],customers[City],"")</f>
        <v>Cincinnati</v>
      </c>
      <c r="G543">
        <v>141</v>
      </c>
      <c r="H543" s="47" t="s">
        <v>36</v>
      </c>
      <c r="I543" s="48">
        <v>45088</v>
      </c>
      <c r="J543">
        <v>100</v>
      </c>
      <c r="K543">
        <v>4.6</v>
      </c>
      <c r="L543">
        <f>IF(MONTH(calls[[#This Row],[Date of Call]])&lt;=6,YEAR(calls[[#This Row],[Date of Call]]),YEAR(calls[[#This Row],[Date of Call]])+1)</f>
        <v>2023</v>
      </c>
      <c r="M543" t="str">
        <f>TEXT(calls[[#This Row],[Date of Call]],"DDDD")</f>
        <v>Sunday</v>
      </c>
      <c r="N543" t="str" cm="1">
        <f t="array" ref="N54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43">
        <f>ROUND(calls[[#This Row],[Satisfaction Rating]],0)</f>
        <v>5</v>
      </c>
      <c r="P543" s="53">
        <f t="shared" si="8"/>
        <v>307</v>
      </c>
    </row>
    <row r="544" spans="2:16">
      <c r="B544" t="s">
        <v>624</v>
      </c>
      <c r="C544" t="s">
        <v>63</v>
      </c>
      <c r="D544" s="46" t="str" cm="1">
        <f t="array" ref="D544">_xlfn.XLOOKUP(C544,customers[Customer ID],customers[Gender],"")</f>
        <v>Male</v>
      </c>
      <c r="E544" s="46" cm="1">
        <f t="array" ref="E544">_xlfn.XLOOKUP(C544,customers[Customer ID],customers[Age],"")</f>
        <v>31</v>
      </c>
      <c r="F544" s="46" t="str" cm="1">
        <f t="array" ref="F544">_xlfn.XLOOKUP(C544,customers[Customer ID],customers[City],"")</f>
        <v>Cleveland</v>
      </c>
      <c r="G544">
        <v>71</v>
      </c>
      <c r="H544" s="47" t="s">
        <v>38</v>
      </c>
      <c r="I544" s="48">
        <v>45089</v>
      </c>
      <c r="J544">
        <v>52</v>
      </c>
      <c r="K544">
        <v>3.4</v>
      </c>
      <c r="L544">
        <f>IF(MONTH(calls[[#This Row],[Date of Call]])&lt;=6,YEAR(calls[[#This Row],[Date of Call]]),YEAR(calls[[#This Row],[Date of Call]])+1)</f>
        <v>2023</v>
      </c>
      <c r="M544" t="str">
        <f>TEXT(calls[[#This Row],[Date of Call]],"DDDD")</f>
        <v>Monday</v>
      </c>
      <c r="N544" t="str" cm="1">
        <f t="array" ref="N5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44">
        <f>ROUND(calls[[#This Row],[Satisfaction Rating]],0)</f>
        <v>3</v>
      </c>
      <c r="P544" s="53">
        <f t="shared" si="8"/>
        <v>307</v>
      </c>
    </row>
    <row r="545" spans="2:16">
      <c r="B545" t="s">
        <v>625</v>
      </c>
      <c r="C545" t="s">
        <v>63</v>
      </c>
      <c r="D545" s="46" t="str" cm="1">
        <f t="array" ref="D545">_xlfn.XLOOKUP(C545,customers[Customer ID],customers[Gender],"")</f>
        <v>Male</v>
      </c>
      <c r="E545" s="46" cm="1">
        <f t="array" ref="E545">_xlfn.XLOOKUP(C545,customers[Customer ID],customers[Age],"")</f>
        <v>31</v>
      </c>
      <c r="F545" s="46" t="str" cm="1">
        <f t="array" ref="F545">_xlfn.XLOOKUP(C545,customers[Customer ID],customers[City],"")</f>
        <v>Cleveland</v>
      </c>
      <c r="G545">
        <v>121</v>
      </c>
      <c r="H545" s="47" t="s">
        <v>40</v>
      </c>
      <c r="I545" s="48">
        <v>45090</v>
      </c>
      <c r="J545">
        <v>84</v>
      </c>
      <c r="K545">
        <v>4.6</v>
      </c>
      <c r="L545">
        <f>IF(MONTH(calls[[#This Row],[Date of Call]])&lt;=6,YEAR(calls[[#This Row],[Date of Call]]),YEAR(calls[[#This Row],[Date of Call]])+1)</f>
        <v>2023</v>
      </c>
      <c r="M545" t="str">
        <f>TEXT(calls[[#This Row],[Date of Call]],"DDDD")</f>
        <v>Tuesday</v>
      </c>
      <c r="N545" t="str" cm="1">
        <f t="array" ref="N54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45">
        <f>ROUND(calls[[#This Row],[Satisfaction Rating]],0)</f>
        <v>5</v>
      </c>
      <c r="P545" s="53">
        <f t="shared" si="8"/>
        <v>307</v>
      </c>
    </row>
    <row r="546" spans="2:16">
      <c r="B546" t="s">
        <v>626</v>
      </c>
      <c r="C546" t="s">
        <v>63</v>
      </c>
      <c r="D546" s="46" t="str" cm="1">
        <f t="array" ref="D546">_xlfn.XLOOKUP(C546,customers[Customer ID],customers[Gender],"")</f>
        <v>Male</v>
      </c>
      <c r="E546" s="46" cm="1">
        <f t="array" ref="E546">_xlfn.XLOOKUP(C546,customers[Customer ID],customers[Age],"")</f>
        <v>31</v>
      </c>
      <c r="F546" s="46" t="str" cm="1">
        <f t="array" ref="F546">_xlfn.XLOOKUP(C546,customers[Customer ID],customers[City],"")</f>
        <v>Cleveland</v>
      </c>
      <c r="G546">
        <v>60</v>
      </c>
      <c r="H546" s="47" t="s">
        <v>40</v>
      </c>
      <c r="I546" s="48">
        <v>45090</v>
      </c>
      <c r="J546">
        <v>37</v>
      </c>
      <c r="K546">
        <v>3.9</v>
      </c>
      <c r="L546">
        <f>IF(MONTH(calls[[#This Row],[Date of Call]])&lt;=6,YEAR(calls[[#This Row],[Date of Call]]),YEAR(calls[[#This Row],[Date of Call]])+1)</f>
        <v>2023</v>
      </c>
      <c r="M546" t="str">
        <f>TEXT(calls[[#This Row],[Date of Call]],"DDDD")</f>
        <v>Tuesday</v>
      </c>
      <c r="N546" t="str" cm="1">
        <f t="array" ref="N54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46">
        <f>ROUND(calls[[#This Row],[Satisfaction Rating]],0)</f>
        <v>4</v>
      </c>
      <c r="P546" s="53">
        <f t="shared" si="8"/>
        <v>307</v>
      </c>
    </row>
    <row r="547" spans="2:16">
      <c r="B547" t="s">
        <v>627</v>
      </c>
      <c r="C547" t="s">
        <v>68</v>
      </c>
      <c r="D547" s="46" t="str" cm="1">
        <f t="array" ref="D547">_xlfn.XLOOKUP(C547,customers[Customer ID],customers[Gender],"")</f>
        <v>Female</v>
      </c>
      <c r="E547" s="46" cm="1">
        <f t="array" ref="E547">_xlfn.XLOOKUP(C547,customers[Customer ID],customers[Age],"")</f>
        <v>43</v>
      </c>
      <c r="F547" s="46" t="str" cm="1">
        <f t="array" ref="F547">_xlfn.XLOOKUP(C547,customers[Customer ID],customers[City],"")</f>
        <v>Cleveland</v>
      </c>
      <c r="G547">
        <v>158</v>
      </c>
      <c r="H547" s="47" t="s">
        <v>36</v>
      </c>
      <c r="I547" s="48">
        <v>45091</v>
      </c>
      <c r="J547">
        <v>190</v>
      </c>
      <c r="K547">
        <v>4</v>
      </c>
      <c r="L547">
        <f>IF(MONTH(calls[[#This Row],[Date of Call]])&lt;=6,YEAR(calls[[#This Row],[Date of Call]]),YEAR(calls[[#This Row],[Date of Call]])+1)</f>
        <v>2023</v>
      </c>
      <c r="M547" t="str">
        <f>TEXT(calls[[#This Row],[Date of Call]],"DDDD")</f>
        <v>Wednesday</v>
      </c>
      <c r="N547" t="str" cm="1">
        <f t="array" ref="N54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47">
        <f>ROUND(calls[[#This Row],[Satisfaction Rating]],0)</f>
        <v>4</v>
      </c>
      <c r="P547" s="53">
        <f t="shared" si="8"/>
        <v>307</v>
      </c>
    </row>
    <row r="548" spans="2:16">
      <c r="B548" t="s">
        <v>628</v>
      </c>
      <c r="C548" t="s">
        <v>66</v>
      </c>
      <c r="D548" s="46" t="str" cm="1">
        <f t="array" ref="D548">_xlfn.XLOOKUP(C548,customers[Customer ID],customers[Gender],"")</f>
        <v>Female</v>
      </c>
      <c r="E548" s="46" cm="1">
        <f t="array" ref="E548">_xlfn.XLOOKUP(C548,customers[Customer ID],customers[Age],"")</f>
        <v>30</v>
      </c>
      <c r="F548" s="46" t="str" cm="1">
        <f t="array" ref="F548">_xlfn.XLOOKUP(C548,customers[Customer ID],customers[City],"")</f>
        <v>Cleveland</v>
      </c>
      <c r="G548">
        <v>159</v>
      </c>
      <c r="H548" s="47" t="s">
        <v>37</v>
      </c>
      <c r="I548" s="48">
        <v>45091</v>
      </c>
      <c r="J548">
        <v>66</v>
      </c>
      <c r="K548">
        <v>3.4</v>
      </c>
      <c r="L548">
        <f>IF(MONTH(calls[[#This Row],[Date of Call]])&lt;=6,YEAR(calls[[#This Row],[Date of Call]]),YEAR(calls[[#This Row],[Date of Call]])+1)</f>
        <v>2023</v>
      </c>
      <c r="M548" t="str">
        <f>TEXT(calls[[#This Row],[Date of Call]],"DDDD")</f>
        <v>Wednesday</v>
      </c>
      <c r="N548" t="str" cm="1">
        <f t="array" ref="N54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48">
        <f>ROUND(calls[[#This Row],[Satisfaction Rating]],0)</f>
        <v>3</v>
      </c>
      <c r="P548" s="53">
        <f t="shared" si="8"/>
        <v>307</v>
      </c>
    </row>
    <row r="549" spans="2:16">
      <c r="B549" t="s">
        <v>629</v>
      </c>
      <c r="C549" t="s">
        <v>60</v>
      </c>
      <c r="D549" s="46" t="str" cm="1">
        <f t="array" ref="D549">_xlfn.XLOOKUP(C549,customers[Customer ID],customers[Gender],"")</f>
        <v>Male</v>
      </c>
      <c r="E549" s="46" cm="1">
        <f t="array" ref="E549">_xlfn.XLOOKUP(C549,customers[Customer ID],customers[Age],"")</f>
        <v>36</v>
      </c>
      <c r="F549" s="46" t="str" cm="1">
        <f t="array" ref="F549">_xlfn.XLOOKUP(C549,customers[Customer ID],customers[City],"")</f>
        <v>Cincinnati</v>
      </c>
      <c r="G549">
        <v>70</v>
      </c>
      <c r="H549" s="47" t="s">
        <v>38</v>
      </c>
      <c r="I549" s="48">
        <v>45092</v>
      </c>
      <c r="J549">
        <v>116</v>
      </c>
      <c r="K549">
        <v>3.2</v>
      </c>
      <c r="L549">
        <f>IF(MONTH(calls[[#This Row],[Date of Call]])&lt;=6,YEAR(calls[[#This Row],[Date of Call]]),YEAR(calls[[#This Row],[Date of Call]])+1)</f>
        <v>2023</v>
      </c>
      <c r="M549" t="str">
        <f>TEXT(calls[[#This Row],[Date of Call]],"DDDD")</f>
        <v>Thursday</v>
      </c>
      <c r="N549" t="str" cm="1">
        <f t="array" ref="N54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49">
        <f>ROUND(calls[[#This Row],[Satisfaction Rating]],0)</f>
        <v>3</v>
      </c>
      <c r="P549" s="53">
        <f t="shared" si="8"/>
        <v>307</v>
      </c>
    </row>
    <row r="550" spans="2:16">
      <c r="B550" t="s">
        <v>630</v>
      </c>
      <c r="C550" t="s">
        <v>62</v>
      </c>
      <c r="D550" s="46" t="str" cm="1">
        <f t="array" ref="D550">_xlfn.XLOOKUP(C550,customers[Customer ID],customers[Gender],"")</f>
        <v>Female</v>
      </c>
      <c r="E550" s="46" cm="1">
        <f t="array" ref="E550">_xlfn.XLOOKUP(C550,customers[Customer ID],customers[Age],"")</f>
        <v>28</v>
      </c>
      <c r="F550" s="46" t="str" cm="1">
        <f t="array" ref="F550">_xlfn.XLOOKUP(C550,customers[Customer ID],customers[City],"")</f>
        <v>Cincinnati</v>
      </c>
      <c r="G550">
        <v>78</v>
      </c>
      <c r="H550" s="47" t="s">
        <v>39</v>
      </c>
      <c r="I550" s="48">
        <v>45092</v>
      </c>
      <c r="J550">
        <v>28</v>
      </c>
      <c r="K550">
        <v>3.9</v>
      </c>
      <c r="L550">
        <f>IF(MONTH(calls[[#This Row],[Date of Call]])&lt;=6,YEAR(calls[[#This Row],[Date of Call]]),YEAR(calls[[#This Row],[Date of Call]])+1)</f>
        <v>2023</v>
      </c>
      <c r="M550" t="str">
        <f>TEXT(calls[[#This Row],[Date of Call]],"DDDD")</f>
        <v>Thursday</v>
      </c>
      <c r="N550" t="str" cm="1">
        <f t="array" ref="N55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50">
        <f>ROUND(calls[[#This Row],[Satisfaction Rating]],0)</f>
        <v>4</v>
      </c>
      <c r="P550" s="53">
        <f t="shared" si="8"/>
        <v>307</v>
      </c>
    </row>
    <row r="551" spans="2:16">
      <c r="B551" t="s">
        <v>631</v>
      </c>
      <c r="C551" t="s">
        <v>61</v>
      </c>
      <c r="D551" s="46" t="str" cm="1">
        <f t="array" ref="D551">_xlfn.XLOOKUP(C551,customers[Customer ID],customers[Gender],"")</f>
        <v>Female</v>
      </c>
      <c r="E551" s="46" cm="1">
        <f t="array" ref="E551">_xlfn.XLOOKUP(C551,customers[Customer ID],customers[Age],"")</f>
        <v>30</v>
      </c>
      <c r="F551" s="46" t="str" cm="1">
        <f t="array" ref="F551">_xlfn.XLOOKUP(C551,customers[Customer ID],customers[City],"")</f>
        <v>Cincinnati</v>
      </c>
      <c r="G551">
        <v>103</v>
      </c>
      <c r="H551" s="47" t="s">
        <v>38</v>
      </c>
      <c r="I551" s="48">
        <v>45092</v>
      </c>
      <c r="J551">
        <v>120</v>
      </c>
      <c r="K551">
        <v>5</v>
      </c>
      <c r="L551">
        <f>IF(MONTH(calls[[#This Row],[Date of Call]])&lt;=6,YEAR(calls[[#This Row],[Date of Call]]),YEAR(calls[[#This Row],[Date of Call]])+1)</f>
        <v>2023</v>
      </c>
      <c r="M551" t="str">
        <f>TEXT(calls[[#This Row],[Date of Call]],"DDDD")</f>
        <v>Thursday</v>
      </c>
      <c r="N551" t="str" cm="1">
        <f t="array" ref="N55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51">
        <f>ROUND(calls[[#This Row],[Satisfaction Rating]],0)</f>
        <v>5</v>
      </c>
      <c r="P551" s="53">
        <f t="shared" si="8"/>
        <v>307</v>
      </c>
    </row>
    <row r="552" spans="2:16">
      <c r="B552" t="s">
        <v>632</v>
      </c>
      <c r="C552" t="s">
        <v>70</v>
      </c>
      <c r="D552" s="46" t="str" cm="1">
        <f t="array" ref="D552">_xlfn.XLOOKUP(C552,customers[Customer ID],customers[Gender],"")</f>
        <v>Male</v>
      </c>
      <c r="E552" s="46" cm="1">
        <f t="array" ref="E552">_xlfn.XLOOKUP(C552,customers[Customer ID],customers[Age],"")</f>
        <v>37</v>
      </c>
      <c r="F552" s="46" t="str" cm="1">
        <f t="array" ref="F552">_xlfn.XLOOKUP(C552,customers[Customer ID],customers[City],"")</f>
        <v>Columbus</v>
      </c>
      <c r="G552">
        <v>108</v>
      </c>
      <c r="H552" s="47" t="s">
        <v>36</v>
      </c>
      <c r="I552" s="48">
        <v>45092</v>
      </c>
      <c r="J552">
        <v>56</v>
      </c>
      <c r="K552">
        <v>3.5</v>
      </c>
      <c r="L552">
        <f>IF(MONTH(calls[[#This Row],[Date of Call]])&lt;=6,YEAR(calls[[#This Row],[Date of Call]]),YEAR(calls[[#This Row],[Date of Call]])+1)</f>
        <v>2023</v>
      </c>
      <c r="M552" t="str">
        <f>TEXT(calls[[#This Row],[Date of Call]],"DDDD")</f>
        <v>Thursday</v>
      </c>
      <c r="N552" t="str" cm="1">
        <f t="array" ref="N55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52">
        <f>ROUND(calls[[#This Row],[Satisfaction Rating]],0)</f>
        <v>4</v>
      </c>
      <c r="P552" s="53">
        <f t="shared" si="8"/>
        <v>307</v>
      </c>
    </row>
    <row r="553" spans="2:16">
      <c r="B553" t="s">
        <v>633</v>
      </c>
      <c r="C553" t="s">
        <v>70</v>
      </c>
      <c r="D553" s="46" t="str" cm="1">
        <f t="array" ref="D553">_xlfn.XLOOKUP(C553,customers[Customer ID],customers[Gender],"")</f>
        <v>Male</v>
      </c>
      <c r="E553" s="46" cm="1">
        <f t="array" ref="E553">_xlfn.XLOOKUP(C553,customers[Customer ID],customers[Age],"")</f>
        <v>37</v>
      </c>
      <c r="F553" s="46" t="str" cm="1">
        <f t="array" ref="F553">_xlfn.XLOOKUP(C553,customers[Customer ID],customers[City],"")</f>
        <v>Columbus</v>
      </c>
      <c r="G553">
        <v>44</v>
      </c>
      <c r="H553" s="47" t="s">
        <v>40</v>
      </c>
      <c r="I553" s="48">
        <v>45092</v>
      </c>
      <c r="J553">
        <v>170</v>
      </c>
      <c r="K553">
        <v>3.8</v>
      </c>
      <c r="L553">
        <f>IF(MONTH(calls[[#This Row],[Date of Call]])&lt;=6,YEAR(calls[[#This Row],[Date of Call]]),YEAR(calls[[#This Row],[Date of Call]])+1)</f>
        <v>2023</v>
      </c>
      <c r="M553" t="str">
        <f>TEXT(calls[[#This Row],[Date of Call]],"DDDD")</f>
        <v>Thursday</v>
      </c>
      <c r="N553" t="str" cm="1">
        <f t="array" ref="N55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53">
        <f>ROUND(calls[[#This Row],[Satisfaction Rating]],0)</f>
        <v>4</v>
      </c>
      <c r="P553" s="53">
        <f t="shared" si="8"/>
        <v>307</v>
      </c>
    </row>
    <row r="554" spans="2:16">
      <c r="B554" t="s">
        <v>634</v>
      </c>
      <c r="C554" t="s">
        <v>62</v>
      </c>
      <c r="D554" s="46" t="str" cm="1">
        <f t="array" ref="D554">_xlfn.XLOOKUP(C554,customers[Customer ID],customers[Gender],"")</f>
        <v>Female</v>
      </c>
      <c r="E554" s="46" cm="1">
        <f t="array" ref="E554">_xlfn.XLOOKUP(C554,customers[Customer ID],customers[Age],"")</f>
        <v>28</v>
      </c>
      <c r="F554" s="46" t="str" cm="1">
        <f t="array" ref="F554">_xlfn.XLOOKUP(C554,customers[Customer ID],customers[City],"")</f>
        <v>Cincinnati</v>
      </c>
      <c r="G554">
        <v>127</v>
      </c>
      <c r="H554" s="47" t="s">
        <v>36</v>
      </c>
      <c r="I554" s="48">
        <v>45093</v>
      </c>
      <c r="J554">
        <v>200</v>
      </c>
      <c r="K554">
        <v>4.8</v>
      </c>
      <c r="L554">
        <f>IF(MONTH(calls[[#This Row],[Date of Call]])&lt;=6,YEAR(calls[[#This Row],[Date of Call]]),YEAR(calls[[#This Row],[Date of Call]])+1)</f>
        <v>2023</v>
      </c>
      <c r="M554" t="str">
        <f>TEXT(calls[[#This Row],[Date of Call]],"DDDD")</f>
        <v>Friday</v>
      </c>
      <c r="N554" t="str" cm="1">
        <f t="array" ref="N55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54">
        <f>ROUND(calls[[#This Row],[Satisfaction Rating]],0)</f>
        <v>5</v>
      </c>
      <c r="P554" s="53">
        <f t="shared" si="8"/>
        <v>307</v>
      </c>
    </row>
    <row r="555" spans="2:16">
      <c r="B555" t="s">
        <v>635</v>
      </c>
      <c r="C555" t="s">
        <v>61</v>
      </c>
      <c r="D555" s="46" t="str" cm="1">
        <f t="array" ref="D555">_xlfn.XLOOKUP(C555,customers[Customer ID],customers[Gender],"")</f>
        <v>Female</v>
      </c>
      <c r="E555" s="46" cm="1">
        <f t="array" ref="E555">_xlfn.XLOOKUP(C555,customers[Customer ID],customers[Age],"")</f>
        <v>30</v>
      </c>
      <c r="F555" s="46" t="str" cm="1">
        <f t="array" ref="F555">_xlfn.XLOOKUP(C555,customers[Customer ID],customers[City],"")</f>
        <v>Cincinnati</v>
      </c>
      <c r="G555">
        <v>132</v>
      </c>
      <c r="H555" s="47" t="s">
        <v>38</v>
      </c>
      <c r="I555" s="48">
        <v>45094</v>
      </c>
      <c r="J555">
        <v>50</v>
      </c>
      <c r="K555">
        <v>4.2</v>
      </c>
      <c r="L555">
        <f>IF(MONTH(calls[[#This Row],[Date of Call]])&lt;=6,YEAR(calls[[#This Row],[Date of Call]]),YEAR(calls[[#This Row],[Date of Call]])+1)</f>
        <v>2023</v>
      </c>
      <c r="M555" t="str">
        <f>TEXT(calls[[#This Row],[Date of Call]],"DDDD")</f>
        <v>Saturday</v>
      </c>
      <c r="N555" t="str" cm="1">
        <f t="array" ref="N55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55">
        <f>ROUND(calls[[#This Row],[Satisfaction Rating]],0)</f>
        <v>4</v>
      </c>
      <c r="P555" s="53">
        <f t="shared" si="8"/>
        <v>307</v>
      </c>
    </row>
    <row r="556" spans="2:16">
      <c r="B556" t="s">
        <v>636</v>
      </c>
      <c r="C556" t="s">
        <v>59</v>
      </c>
      <c r="D556" s="46" t="str" cm="1">
        <f t="array" ref="D556">_xlfn.XLOOKUP(C556,customers[Customer ID],customers[Gender],"")</f>
        <v>Male</v>
      </c>
      <c r="E556" s="46" cm="1">
        <f t="array" ref="E556">_xlfn.XLOOKUP(C556,customers[Customer ID],customers[Age],"")</f>
        <v>26</v>
      </c>
      <c r="F556" s="46" t="str" cm="1">
        <f t="array" ref="F556">_xlfn.XLOOKUP(C556,customers[Customer ID],customers[City],"")</f>
        <v>Cincinnati</v>
      </c>
      <c r="G556">
        <v>106</v>
      </c>
      <c r="H556" s="47" t="s">
        <v>39</v>
      </c>
      <c r="I556" s="48">
        <v>45094</v>
      </c>
      <c r="J556">
        <v>112</v>
      </c>
      <c r="K556">
        <v>3.7</v>
      </c>
      <c r="L556">
        <f>IF(MONTH(calls[[#This Row],[Date of Call]])&lt;=6,YEAR(calls[[#This Row],[Date of Call]]),YEAR(calls[[#This Row],[Date of Call]])+1)</f>
        <v>2023</v>
      </c>
      <c r="M556" t="str">
        <f>TEXT(calls[[#This Row],[Date of Call]],"DDDD")</f>
        <v>Saturday</v>
      </c>
      <c r="N556" t="str" cm="1">
        <f t="array" ref="N5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56">
        <f>ROUND(calls[[#This Row],[Satisfaction Rating]],0)</f>
        <v>4</v>
      </c>
      <c r="P556" s="53">
        <f t="shared" si="8"/>
        <v>307</v>
      </c>
    </row>
    <row r="557" spans="2:16">
      <c r="B557" t="s">
        <v>637</v>
      </c>
      <c r="C557" t="s">
        <v>65</v>
      </c>
      <c r="D557" s="46" t="str" cm="1">
        <f t="array" ref="D557">_xlfn.XLOOKUP(C557,customers[Customer ID],customers[Gender],"")</f>
        <v>Female</v>
      </c>
      <c r="E557" s="46" cm="1">
        <f t="array" ref="E557">_xlfn.XLOOKUP(C557,customers[Customer ID],customers[Age],"")</f>
        <v>42</v>
      </c>
      <c r="F557" s="46" t="str" cm="1">
        <f t="array" ref="F557">_xlfn.XLOOKUP(C557,customers[Customer ID],customers[City],"")</f>
        <v>Cleveland</v>
      </c>
      <c r="G557">
        <v>107</v>
      </c>
      <c r="H557" s="47" t="s">
        <v>38</v>
      </c>
      <c r="I557" s="48">
        <v>45095</v>
      </c>
      <c r="J557">
        <v>39</v>
      </c>
      <c r="K557">
        <v>4.8</v>
      </c>
      <c r="L557">
        <f>IF(MONTH(calls[[#This Row],[Date of Call]])&lt;=6,YEAR(calls[[#This Row],[Date of Call]]),YEAR(calls[[#This Row],[Date of Call]])+1)</f>
        <v>2023</v>
      </c>
      <c r="M557" t="str">
        <f>TEXT(calls[[#This Row],[Date of Call]],"DDDD")</f>
        <v>Sunday</v>
      </c>
      <c r="N557" t="str" cm="1">
        <f t="array" ref="N55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57">
        <f>ROUND(calls[[#This Row],[Satisfaction Rating]],0)</f>
        <v>5</v>
      </c>
      <c r="P557" s="53">
        <f t="shared" si="8"/>
        <v>307</v>
      </c>
    </row>
    <row r="558" spans="2:16">
      <c r="B558" t="s">
        <v>638</v>
      </c>
      <c r="C558" t="s">
        <v>66</v>
      </c>
      <c r="D558" s="46" t="str" cm="1">
        <f t="array" ref="D558">_xlfn.XLOOKUP(C558,customers[Customer ID],customers[Gender],"")</f>
        <v>Female</v>
      </c>
      <c r="E558" s="46" cm="1">
        <f t="array" ref="E558">_xlfn.XLOOKUP(C558,customers[Customer ID],customers[Age],"")</f>
        <v>30</v>
      </c>
      <c r="F558" s="46" t="str" cm="1">
        <f t="array" ref="F558">_xlfn.XLOOKUP(C558,customers[Customer ID],customers[City],"")</f>
        <v>Cleveland</v>
      </c>
      <c r="G558">
        <v>85</v>
      </c>
      <c r="H558" s="47" t="s">
        <v>39</v>
      </c>
      <c r="I558" s="48">
        <v>45095</v>
      </c>
      <c r="J558">
        <v>38</v>
      </c>
      <c r="K558">
        <v>4.8</v>
      </c>
      <c r="L558">
        <f>IF(MONTH(calls[[#This Row],[Date of Call]])&lt;=6,YEAR(calls[[#This Row],[Date of Call]]),YEAR(calls[[#This Row],[Date of Call]])+1)</f>
        <v>2023</v>
      </c>
      <c r="M558" t="str">
        <f>TEXT(calls[[#This Row],[Date of Call]],"DDDD")</f>
        <v>Sunday</v>
      </c>
      <c r="N558" t="str" cm="1">
        <f t="array" ref="N5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58">
        <f>ROUND(calls[[#This Row],[Satisfaction Rating]],0)</f>
        <v>5</v>
      </c>
      <c r="P558" s="53">
        <f t="shared" si="8"/>
        <v>307</v>
      </c>
    </row>
    <row r="559" spans="2:16">
      <c r="B559" t="s">
        <v>639</v>
      </c>
      <c r="C559" t="s">
        <v>64</v>
      </c>
      <c r="D559" s="46" t="str" cm="1">
        <f t="array" ref="D559">_xlfn.XLOOKUP(C559,customers[Customer ID],customers[Gender],"")</f>
        <v>Female</v>
      </c>
      <c r="E559" s="46" cm="1">
        <f t="array" ref="E559">_xlfn.XLOOKUP(C559,customers[Customer ID],customers[Age],"")</f>
        <v>22</v>
      </c>
      <c r="F559" s="46" t="str" cm="1">
        <f t="array" ref="F559">_xlfn.XLOOKUP(C559,customers[Customer ID],customers[City],"")</f>
        <v>Cleveland</v>
      </c>
      <c r="G559">
        <v>49</v>
      </c>
      <c r="H559" s="47" t="s">
        <v>38</v>
      </c>
      <c r="I559" s="48">
        <v>45096</v>
      </c>
      <c r="J559">
        <v>84</v>
      </c>
      <c r="K559">
        <v>2.9</v>
      </c>
      <c r="L559">
        <f>IF(MONTH(calls[[#This Row],[Date of Call]])&lt;=6,YEAR(calls[[#This Row],[Date of Call]]),YEAR(calls[[#This Row],[Date of Call]])+1)</f>
        <v>2023</v>
      </c>
      <c r="M559" t="str">
        <f>TEXT(calls[[#This Row],[Date of Call]],"DDDD")</f>
        <v>Monday</v>
      </c>
      <c r="N559" t="str" cm="1">
        <f t="array" ref="N55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59">
        <f>ROUND(calls[[#This Row],[Satisfaction Rating]],0)</f>
        <v>3</v>
      </c>
      <c r="P559" s="53">
        <f t="shared" si="8"/>
        <v>307</v>
      </c>
    </row>
    <row r="560" spans="2:16">
      <c r="B560" t="s">
        <v>640</v>
      </c>
      <c r="C560" t="s">
        <v>63</v>
      </c>
      <c r="D560" s="46" t="str" cm="1">
        <f t="array" ref="D560">_xlfn.XLOOKUP(C560,customers[Customer ID],customers[Gender],"")</f>
        <v>Male</v>
      </c>
      <c r="E560" s="46" cm="1">
        <f t="array" ref="E560">_xlfn.XLOOKUP(C560,customers[Customer ID],customers[Age],"")</f>
        <v>31</v>
      </c>
      <c r="F560" s="46" t="str" cm="1">
        <f t="array" ref="F560">_xlfn.XLOOKUP(C560,customers[Customer ID],customers[City],"")</f>
        <v>Cleveland</v>
      </c>
      <c r="G560">
        <v>117</v>
      </c>
      <c r="H560" s="47" t="s">
        <v>36</v>
      </c>
      <c r="I560" s="48">
        <v>45097</v>
      </c>
      <c r="J560">
        <v>82</v>
      </c>
      <c r="K560">
        <v>3.5</v>
      </c>
      <c r="L560">
        <f>IF(MONTH(calls[[#This Row],[Date of Call]])&lt;=6,YEAR(calls[[#This Row],[Date of Call]]),YEAR(calls[[#This Row],[Date of Call]])+1)</f>
        <v>2023</v>
      </c>
      <c r="M560" t="str">
        <f>TEXT(calls[[#This Row],[Date of Call]],"DDDD")</f>
        <v>Tuesday</v>
      </c>
      <c r="N560" t="str" cm="1">
        <f t="array" ref="N5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60">
        <f>ROUND(calls[[#This Row],[Satisfaction Rating]],0)</f>
        <v>4</v>
      </c>
      <c r="P560" s="53">
        <f t="shared" si="8"/>
        <v>307</v>
      </c>
    </row>
    <row r="561" spans="2:16">
      <c r="B561" t="s">
        <v>641</v>
      </c>
      <c r="C561" t="s">
        <v>65</v>
      </c>
      <c r="D561" s="46" t="str" cm="1">
        <f t="array" ref="D561">_xlfn.XLOOKUP(C561,customers[Customer ID],customers[Gender],"")</f>
        <v>Female</v>
      </c>
      <c r="E561" s="46" cm="1">
        <f t="array" ref="E561">_xlfn.XLOOKUP(C561,customers[Customer ID],customers[Age],"")</f>
        <v>42</v>
      </c>
      <c r="F561" s="46" t="str" cm="1">
        <f t="array" ref="F561">_xlfn.XLOOKUP(C561,customers[Customer ID],customers[City],"")</f>
        <v>Cleveland</v>
      </c>
      <c r="G561">
        <v>136</v>
      </c>
      <c r="H561" s="47" t="s">
        <v>39</v>
      </c>
      <c r="I561" s="48">
        <v>45097</v>
      </c>
      <c r="J561">
        <v>37</v>
      </c>
      <c r="K561">
        <v>0.9</v>
      </c>
      <c r="L561">
        <f>IF(MONTH(calls[[#This Row],[Date of Call]])&lt;=6,YEAR(calls[[#This Row],[Date of Call]]),YEAR(calls[[#This Row],[Date of Call]])+1)</f>
        <v>2023</v>
      </c>
      <c r="M561" t="str">
        <f>TEXT(calls[[#This Row],[Date of Call]],"DDDD")</f>
        <v>Tuesday</v>
      </c>
      <c r="N561" t="str" cm="1">
        <f t="array" ref="N56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61">
        <f>ROUND(calls[[#This Row],[Satisfaction Rating]],0)</f>
        <v>1</v>
      </c>
      <c r="P561" s="53">
        <f t="shared" si="8"/>
        <v>307</v>
      </c>
    </row>
    <row r="562" spans="2:16">
      <c r="B562" t="s">
        <v>642</v>
      </c>
      <c r="C562" t="s">
        <v>70</v>
      </c>
      <c r="D562" s="46" t="str" cm="1">
        <f t="array" ref="D562">_xlfn.XLOOKUP(C562,customers[Customer ID],customers[Gender],"")</f>
        <v>Male</v>
      </c>
      <c r="E562" s="46" cm="1">
        <f t="array" ref="E562">_xlfn.XLOOKUP(C562,customers[Customer ID],customers[Age],"")</f>
        <v>37</v>
      </c>
      <c r="F562" s="46" t="str" cm="1">
        <f t="array" ref="F562">_xlfn.XLOOKUP(C562,customers[Customer ID],customers[City],"")</f>
        <v>Columbus</v>
      </c>
      <c r="G562">
        <v>130</v>
      </c>
      <c r="H562" s="47" t="s">
        <v>37</v>
      </c>
      <c r="I562" s="48">
        <v>45098</v>
      </c>
      <c r="J562">
        <v>87</v>
      </c>
      <c r="K562">
        <v>3.4</v>
      </c>
      <c r="L562">
        <f>IF(MONTH(calls[[#This Row],[Date of Call]])&lt;=6,YEAR(calls[[#This Row],[Date of Call]]),YEAR(calls[[#This Row],[Date of Call]])+1)</f>
        <v>2023</v>
      </c>
      <c r="M562" t="str">
        <f>TEXT(calls[[#This Row],[Date of Call]],"DDDD")</f>
        <v>Wednesday</v>
      </c>
      <c r="N562" t="str" cm="1">
        <f t="array" ref="N56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62">
        <f>ROUND(calls[[#This Row],[Satisfaction Rating]],0)</f>
        <v>3</v>
      </c>
      <c r="P562" s="53">
        <f t="shared" si="8"/>
        <v>307</v>
      </c>
    </row>
    <row r="563" spans="2:16">
      <c r="B563" t="s">
        <v>643</v>
      </c>
      <c r="C563" t="s">
        <v>70</v>
      </c>
      <c r="D563" s="46" t="str" cm="1">
        <f t="array" ref="D563">_xlfn.XLOOKUP(C563,customers[Customer ID],customers[Gender],"")</f>
        <v>Male</v>
      </c>
      <c r="E563" s="46" cm="1">
        <f t="array" ref="E563">_xlfn.XLOOKUP(C563,customers[Customer ID],customers[Age],"")</f>
        <v>37</v>
      </c>
      <c r="F563" s="46" t="str" cm="1">
        <f t="array" ref="F563">_xlfn.XLOOKUP(C563,customers[Customer ID],customers[City],"")</f>
        <v>Columbus</v>
      </c>
      <c r="G563">
        <v>73</v>
      </c>
      <c r="H563" s="47" t="s">
        <v>37</v>
      </c>
      <c r="I563" s="48">
        <v>45098</v>
      </c>
      <c r="J563">
        <v>75</v>
      </c>
      <c r="K563">
        <v>2.7</v>
      </c>
      <c r="L563">
        <f>IF(MONTH(calls[[#This Row],[Date of Call]])&lt;=6,YEAR(calls[[#This Row],[Date of Call]]),YEAR(calls[[#This Row],[Date of Call]])+1)</f>
        <v>2023</v>
      </c>
      <c r="M563" t="str">
        <f>TEXT(calls[[#This Row],[Date of Call]],"DDDD")</f>
        <v>Wednesday</v>
      </c>
      <c r="N563" t="str" cm="1">
        <f t="array" ref="N56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63">
        <f>ROUND(calls[[#This Row],[Satisfaction Rating]],0)</f>
        <v>3</v>
      </c>
      <c r="P563" s="53">
        <f t="shared" si="8"/>
        <v>307</v>
      </c>
    </row>
    <row r="564" spans="2:16">
      <c r="B564" t="s">
        <v>644</v>
      </c>
      <c r="C564" t="s">
        <v>64</v>
      </c>
      <c r="D564" s="46" t="str" cm="1">
        <f t="array" ref="D564">_xlfn.XLOOKUP(C564,customers[Customer ID],customers[Gender],"")</f>
        <v>Female</v>
      </c>
      <c r="E564" s="46" cm="1">
        <f t="array" ref="E564">_xlfn.XLOOKUP(C564,customers[Customer ID],customers[Age],"")</f>
        <v>22</v>
      </c>
      <c r="F564" s="46" t="str" cm="1">
        <f t="array" ref="F564">_xlfn.XLOOKUP(C564,customers[Customer ID],customers[City],"")</f>
        <v>Cleveland</v>
      </c>
      <c r="G564">
        <v>80</v>
      </c>
      <c r="H564" s="47" t="s">
        <v>38</v>
      </c>
      <c r="I564" s="48">
        <v>45098</v>
      </c>
      <c r="J564">
        <v>32</v>
      </c>
      <c r="K564">
        <v>4.7</v>
      </c>
      <c r="L564">
        <f>IF(MONTH(calls[[#This Row],[Date of Call]])&lt;=6,YEAR(calls[[#This Row],[Date of Call]]),YEAR(calls[[#This Row],[Date of Call]])+1)</f>
        <v>2023</v>
      </c>
      <c r="M564" t="str">
        <f>TEXT(calls[[#This Row],[Date of Call]],"DDDD")</f>
        <v>Wednesday</v>
      </c>
      <c r="N564" t="str" cm="1">
        <f t="array" ref="N5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64">
        <f>ROUND(calls[[#This Row],[Satisfaction Rating]],0)</f>
        <v>5</v>
      </c>
      <c r="P564" s="53">
        <f t="shared" si="8"/>
        <v>307</v>
      </c>
    </row>
    <row r="565" spans="2:16">
      <c r="B565" t="s">
        <v>645</v>
      </c>
      <c r="C565" t="s">
        <v>69</v>
      </c>
      <c r="D565" s="46" t="str" cm="1">
        <f t="array" ref="D565">_xlfn.XLOOKUP(C565,customers[Customer ID],customers[Gender],"")</f>
        <v>Male</v>
      </c>
      <c r="E565" s="46" cm="1">
        <f t="array" ref="E565">_xlfn.XLOOKUP(C565,customers[Customer ID],customers[Age],"")</f>
        <v>41</v>
      </c>
      <c r="F565" s="46" t="str" cm="1">
        <f t="array" ref="F565">_xlfn.XLOOKUP(C565,customers[Customer ID],customers[City],"")</f>
        <v>Columbus</v>
      </c>
      <c r="G565">
        <v>44</v>
      </c>
      <c r="H565" s="47" t="s">
        <v>36</v>
      </c>
      <c r="I565" s="48">
        <v>45098</v>
      </c>
      <c r="J565">
        <v>33</v>
      </c>
      <c r="K565">
        <v>3</v>
      </c>
      <c r="L565">
        <f>IF(MONTH(calls[[#This Row],[Date of Call]])&lt;=6,YEAR(calls[[#This Row],[Date of Call]]),YEAR(calls[[#This Row],[Date of Call]])+1)</f>
        <v>2023</v>
      </c>
      <c r="M565" t="str">
        <f>TEXT(calls[[#This Row],[Date of Call]],"DDDD")</f>
        <v>Wednesday</v>
      </c>
      <c r="N565" t="str" cm="1">
        <f t="array" ref="N56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65">
        <f>ROUND(calls[[#This Row],[Satisfaction Rating]],0)</f>
        <v>3</v>
      </c>
      <c r="P565" s="53">
        <f t="shared" si="8"/>
        <v>307</v>
      </c>
    </row>
    <row r="566" spans="2:16">
      <c r="B566" t="s">
        <v>646</v>
      </c>
      <c r="C566" t="s">
        <v>69</v>
      </c>
      <c r="D566" s="46" t="str" cm="1">
        <f t="array" ref="D566">_xlfn.XLOOKUP(C566,customers[Customer ID],customers[Gender],"")</f>
        <v>Male</v>
      </c>
      <c r="E566" s="46" cm="1">
        <f t="array" ref="E566">_xlfn.XLOOKUP(C566,customers[Customer ID],customers[Age],"")</f>
        <v>41</v>
      </c>
      <c r="F566" s="46" t="str" cm="1">
        <f t="array" ref="F566">_xlfn.XLOOKUP(C566,customers[Customer ID],customers[City],"")</f>
        <v>Columbus</v>
      </c>
      <c r="G566">
        <v>102</v>
      </c>
      <c r="H566" s="47" t="s">
        <v>40</v>
      </c>
      <c r="I566" s="48">
        <v>45098</v>
      </c>
      <c r="J566">
        <v>76</v>
      </c>
      <c r="K566">
        <v>4.2</v>
      </c>
      <c r="L566">
        <f>IF(MONTH(calls[[#This Row],[Date of Call]])&lt;=6,YEAR(calls[[#This Row],[Date of Call]]),YEAR(calls[[#This Row],[Date of Call]])+1)</f>
        <v>2023</v>
      </c>
      <c r="M566" t="str">
        <f>TEXT(calls[[#This Row],[Date of Call]],"DDDD")</f>
        <v>Wednesday</v>
      </c>
      <c r="N566" t="str" cm="1">
        <f t="array" ref="N56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66">
        <f>ROUND(calls[[#This Row],[Satisfaction Rating]],0)</f>
        <v>4</v>
      </c>
      <c r="P566" s="53">
        <f t="shared" si="8"/>
        <v>307</v>
      </c>
    </row>
    <row r="567" spans="2:16">
      <c r="B567" t="s">
        <v>647</v>
      </c>
      <c r="C567" t="s">
        <v>68</v>
      </c>
      <c r="D567" s="46" t="str" cm="1">
        <f t="array" ref="D567">_xlfn.XLOOKUP(C567,customers[Customer ID],customers[Gender],"")</f>
        <v>Female</v>
      </c>
      <c r="E567" s="46" cm="1">
        <f t="array" ref="E567">_xlfn.XLOOKUP(C567,customers[Customer ID],customers[Age],"")</f>
        <v>43</v>
      </c>
      <c r="F567" s="46" t="str" cm="1">
        <f t="array" ref="F567">_xlfn.XLOOKUP(C567,customers[Customer ID],customers[City],"")</f>
        <v>Cleveland</v>
      </c>
      <c r="G567">
        <v>74</v>
      </c>
      <c r="H567" s="47" t="s">
        <v>40</v>
      </c>
      <c r="I567" s="48">
        <v>45098</v>
      </c>
      <c r="J567">
        <v>117</v>
      </c>
      <c r="K567">
        <v>4.8</v>
      </c>
      <c r="L567">
        <f>IF(MONTH(calls[[#This Row],[Date of Call]])&lt;=6,YEAR(calls[[#This Row],[Date of Call]]),YEAR(calls[[#This Row],[Date of Call]])+1)</f>
        <v>2023</v>
      </c>
      <c r="M567" t="str">
        <f>TEXT(calls[[#This Row],[Date of Call]],"DDDD")</f>
        <v>Wednesday</v>
      </c>
      <c r="N567" t="str" cm="1">
        <f t="array" ref="N5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67">
        <f>ROUND(calls[[#This Row],[Satisfaction Rating]],0)</f>
        <v>5</v>
      </c>
      <c r="P567" s="53">
        <f t="shared" si="8"/>
        <v>307</v>
      </c>
    </row>
    <row r="568" spans="2:16">
      <c r="B568" t="s">
        <v>648</v>
      </c>
      <c r="C568" t="s">
        <v>64</v>
      </c>
      <c r="D568" s="46" t="str" cm="1">
        <f t="array" ref="D568">_xlfn.XLOOKUP(C568,customers[Customer ID],customers[Gender],"")</f>
        <v>Female</v>
      </c>
      <c r="E568" s="46" cm="1">
        <f t="array" ref="E568">_xlfn.XLOOKUP(C568,customers[Customer ID],customers[Age],"")</f>
        <v>22</v>
      </c>
      <c r="F568" s="46" t="str" cm="1">
        <f t="array" ref="F568">_xlfn.XLOOKUP(C568,customers[Customer ID],customers[City],"")</f>
        <v>Cleveland</v>
      </c>
      <c r="G568">
        <v>52</v>
      </c>
      <c r="H568" s="47" t="s">
        <v>36</v>
      </c>
      <c r="I568" s="48">
        <v>45100</v>
      </c>
      <c r="J568">
        <v>70</v>
      </c>
      <c r="K568">
        <v>4.1</v>
      </c>
      <c r="L568">
        <f>IF(MONTH(calls[[#This Row],[Date of Call]])&lt;=6,YEAR(calls[[#This Row],[Date of Call]]),YEAR(calls[[#This Row],[Date of Call]])+1)</f>
        <v>2023</v>
      </c>
      <c r="M568" t="str">
        <f>TEXT(calls[[#This Row],[Date of Call]],"DDDD")</f>
        <v>Friday</v>
      </c>
      <c r="N568" t="str" cm="1">
        <f t="array" ref="N56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68">
        <f>ROUND(calls[[#This Row],[Satisfaction Rating]],0)</f>
        <v>4</v>
      </c>
      <c r="P568" s="53">
        <f t="shared" si="8"/>
        <v>307</v>
      </c>
    </row>
    <row r="569" spans="2:16">
      <c r="B569" t="s">
        <v>649</v>
      </c>
      <c r="C569" t="s">
        <v>64</v>
      </c>
      <c r="D569" s="46" t="str" cm="1">
        <f t="array" ref="D569">_xlfn.XLOOKUP(C569,customers[Customer ID],customers[Gender],"")</f>
        <v>Female</v>
      </c>
      <c r="E569" s="46" cm="1">
        <f t="array" ref="E569">_xlfn.XLOOKUP(C569,customers[Customer ID],customers[Age],"")</f>
        <v>22</v>
      </c>
      <c r="F569" s="46" t="str" cm="1">
        <f t="array" ref="F569">_xlfn.XLOOKUP(C569,customers[Customer ID],customers[City],"")</f>
        <v>Cleveland</v>
      </c>
      <c r="G569">
        <v>74</v>
      </c>
      <c r="H569" s="47" t="s">
        <v>37</v>
      </c>
      <c r="I569" s="48">
        <v>45100</v>
      </c>
      <c r="J569">
        <v>37</v>
      </c>
      <c r="K569">
        <v>2.7</v>
      </c>
      <c r="L569">
        <f>IF(MONTH(calls[[#This Row],[Date of Call]])&lt;=6,YEAR(calls[[#This Row],[Date of Call]]),YEAR(calls[[#This Row],[Date of Call]])+1)</f>
        <v>2023</v>
      </c>
      <c r="M569" t="str">
        <f>TEXT(calls[[#This Row],[Date of Call]],"DDDD")</f>
        <v>Friday</v>
      </c>
      <c r="N569" t="str" cm="1">
        <f t="array" ref="N56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69">
        <f>ROUND(calls[[#This Row],[Satisfaction Rating]],0)</f>
        <v>3</v>
      </c>
      <c r="P569" s="53">
        <f t="shared" si="8"/>
        <v>307</v>
      </c>
    </row>
    <row r="570" spans="2:16">
      <c r="B570" t="s">
        <v>650</v>
      </c>
      <c r="C570" t="s">
        <v>70</v>
      </c>
      <c r="D570" s="46" t="str" cm="1">
        <f t="array" ref="D570">_xlfn.XLOOKUP(C570,customers[Customer ID],customers[Gender],"")</f>
        <v>Male</v>
      </c>
      <c r="E570" s="46" cm="1">
        <f t="array" ref="E570">_xlfn.XLOOKUP(C570,customers[Customer ID],customers[Age],"")</f>
        <v>37</v>
      </c>
      <c r="F570" s="46" t="str" cm="1">
        <f t="array" ref="F570">_xlfn.XLOOKUP(C570,customers[Customer ID],customers[City],"")</f>
        <v>Columbus</v>
      </c>
      <c r="G570">
        <v>96</v>
      </c>
      <c r="H570" s="47" t="s">
        <v>40</v>
      </c>
      <c r="I570" s="48">
        <v>45100</v>
      </c>
      <c r="J570">
        <v>46</v>
      </c>
      <c r="K570">
        <v>2.9</v>
      </c>
      <c r="L570">
        <f>IF(MONTH(calls[[#This Row],[Date of Call]])&lt;=6,YEAR(calls[[#This Row],[Date of Call]]),YEAR(calls[[#This Row],[Date of Call]])+1)</f>
        <v>2023</v>
      </c>
      <c r="M570" t="str">
        <f>TEXT(calls[[#This Row],[Date of Call]],"DDDD")</f>
        <v>Friday</v>
      </c>
      <c r="N570" t="str" cm="1">
        <f t="array" ref="N5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70">
        <f>ROUND(calls[[#This Row],[Satisfaction Rating]],0)</f>
        <v>3</v>
      </c>
      <c r="P570" s="53">
        <f t="shared" si="8"/>
        <v>307</v>
      </c>
    </row>
    <row r="571" spans="2:16">
      <c r="B571" t="s">
        <v>651</v>
      </c>
      <c r="C571" t="s">
        <v>67</v>
      </c>
      <c r="D571" s="46" t="str" cm="1">
        <f t="array" ref="D571">_xlfn.XLOOKUP(C571,customers[Customer ID],customers[Gender],"")</f>
        <v>Female</v>
      </c>
      <c r="E571" s="46" cm="1">
        <f t="array" ref="E571">_xlfn.XLOOKUP(C571,customers[Customer ID],customers[Age],"")</f>
        <v>37</v>
      </c>
      <c r="F571" s="46" t="str" cm="1">
        <f t="array" ref="F571">_xlfn.XLOOKUP(C571,customers[Customer ID],customers[City],"")</f>
        <v>Cleveland</v>
      </c>
      <c r="G571">
        <v>104</v>
      </c>
      <c r="H571" s="47" t="s">
        <v>38</v>
      </c>
      <c r="I571" s="48">
        <v>45100</v>
      </c>
      <c r="J571">
        <v>136</v>
      </c>
      <c r="K571">
        <v>5</v>
      </c>
      <c r="L571">
        <f>IF(MONTH(calls[[#This Row],[Date of Call]])&lt;=6,YEAR(calls[[#This Row],[Date of Call]]),YEAR(calls[[#This Row],[Date of Call]])+1)</f>
        <v>2023</v>
      </c>
      <c r="M571" t="str">
        <f>TEXT(calls[[#This Row],[Date of Call]],"DDDD")</f>
        <v>Friday</v>
      </c>
      <c r="N571" t="str" cm="1">
        <f t="array" ref="N57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71">
        <f>ROUND(calls[[#This Row],[Satisfaction Rating]],0)</f>
        <v>5</v>
      </c>
      <c r="P571" s="53">
        <f t="shared" si="8"/>
        <v>307</v>
      </c>
    </row>
    <row r="572" spans="2:16">
      <c r="B572" t="s">
        <v>652</v>
      </c>
      <c r="C572" t="s">
        <v>70</v>
      </c>
      <c r="D572" s="46" t="str" cm="1">
        <f t="array" ref="D572">_xlfn.XLOOKUP(C572,customers[Customer ID],customers[Gender],"")</f>
        <v>Male</v>
      </c>
      <c r="E572" s="46" cm="1">
        <f t="array" ref="E572">_xlfn.XLOOKUP(C572,customers[Customer ID],customers[Age],"")</f>
        <v>37</v>
      </c>
      <c r="F572" s="46" t="str" cm="1">
        <f t="array" ref="F572">_xlfn.XLOOKUP(C572,customers[Customer ID],customers[City],"")</f>
        <v>Columbus</v>
      </c>
      <c r="G572">
        <v>123</v>
      </c>
      <c r="H572" s="47" t="s">
        <v>40</v>
      </c>
      <c r="I572" s="48">
        <v>45101</v>
      </c>
      <c r="J572">
        <v>44</v>
      </c>
      <c r="K572">
        <v>4.6</v>
      </c>
      <c r="L572">
        <f>IF(MONTH(calls[[#This Row],[Date of Call]])&lt;=6,YEAR(calls[[#This Row],[Date of Call]]),YEAR(calls[[#This Row],[Date of Call]])+1)</f>
        <v>2023</v>
      </c>
      <c r="M572" t="str">
        <f>TEXT(calls[[#This Row],[Date of Call]],"DDDD")</f>
        <v>Saturday</v>
      </c>
      <c r="N572" t="str" cm="1">
        <f t="array" ref="N57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72">
        <f>ROUND(calls[[#This Row],[Satisfaction Rating]],0)</f>
        <v>5</v>
      </c>
      <c r="P572" s="53">
        <f t="shared" si="8"/>
        <v>307</v>
      </c>
    </row>
    <row r="573" spans="2:16">
      <c r="B573" t="s">
        <v>653</v>
      </c>
      <c r="C573" t="s">
        <v>72</v>
      </c>
      <c r="D573" s="46" t="str" cm="1">
        <f t="array" ref="D573">_xlfn.XLOOKUP(C573,customers[Customer ID],customers[Gender],"")</f>
        <v>Female</v>
      </c>
      <c r="E573" s="46" cm="1">
        <f t="array" ref="E573">_xlfn.XLOOKUP(C573,customers[Customer ID],customers[Age],"")</f>
        <v>25</v>
      </c>
      <c r="F573" s="46" t="str" cm="1">
        <f t="array" ref="F573">_xlfn.XLOOKUP(C573,customers[Customer ID],customers[City],"")</f>
        <v>Columbus</v>
      </c>
      <c r="G573">
        <v>100</v>
      </c>
      <c r="H573" s="47" t="s">
        <v>39</v>
      </c>
      <c r="I573" s="48">
        <v>45101</v>
      </c>
      <c r="J573">
        <v>69</v>
      </c>
      <c r="K573">
        <v>3</v>
      </c>
      <c r="L573">
        <f>IF(MONTH(calls[[#This Row],[Date of Call]])&lt;=6,YEAR(calls[[#This Row],[Date of Call]]),YEAR(calls[[#This Row],[Date of Call]])+1)</f>
        <v>2023</v>
      </c>
      <c r="M573" t="str">
        <f>TEXT(calls[[#This Row],[Date of Call]],"DDDD")</f>
        <v>Saturday</v>
      </c>
      <c r="N573" t="str" cm="1">
        <f t="array" ref="N5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73">
        <f>ROUND(calls[[#This Row],[Satisfaction Rating]],0)</f>
        <v>3</v>
      </c>
      <c r="P573" s="53">
        <f t="shared" si="8"/>
        <v>307</v>
      </c>
    </row>
    <row r="574" spans="2:16">
      <c r="B574" t="s">
        <v>654</v>
      </c>
      <c r="C574" t="s">
        <v>67</v>
      </c>
      <c r="D574" s="46" t="str" cm="1">
        <f t="array" ref="D574">_xlfn.XLOOKUP(C574,customers[Customer ID],customers[Gender],"")</f>
        <v>Female</v>
      </c>
      <c r="E574" s="46" cm="1">
        <f t="array" ref="E574">_xlfn.XLOOKUP(C574,customers[Customer ID],customers[Age],"")</f>
        <v>37</v>
      </c>
      <c r="F574" s="46" t="str" cm="1">
        <f t="array" ref="F574">_xlfn.XLOOKUP(C574,customers[Customer ID],customers[City],"")</f>
        <v>Cleveland</v>
      </c>
      <c r="G574">
        <v>35</v>
      </c>
      <c r="H574" s="47" t="s">
        <v>36</v>
      </c>
      <c r="I574" s="48">
        <v>45102</v>
      </c>
      <c r="J574">
        <v>86</v>
      </c>
      <c r="K574">
        <v>4.6</v>
      </c>
      <c r="L574">
        <f>IF(MONTH(calls[[#This Row],[Date of Call]])&lt;=6,YEAR(calls[[#This Row],[Date of Call]]),YEAR(calls[[#This Row],[Date of Call]])+1)</f>
        <v>2023</v>
      </c>
      <c r="M574" t="str">
        <f>TEXT(calls[[#This Row],[Date of Call]],"DDDD")</f>
        <v>Sunday</v>
      </c>
      <c r="N574" t="str" cm="1">
        <f t="array" ref="N57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74">
        <f>ROUND(calls[[#This Row],[Satisfaction Rating]],0)</f>
        <v>5</v>
      </c>
      <c r="P574" s="53">
        <f t="shared" si="8"/>
        <v>307</v>
      </c>
    </row>
    <row r="575" spans="2:16">
      <c r="B575" t="s">
        <v>655</v>
      </c>
      <c r="C575" t="s">
        <v>64</v>
      </c>
      <c r="D575" s="46" t="str" cm="1">
        <f t="array" ref="D575">_xlfn.XLOOKUP(C575,customers[Customer ID],customers[Gender],"")</f>
        <v>Female</v>
      </c>
      <c r="E575" s="46" cm="1">
        <f t="array" ref="E575">_xlfn.XLOOKUP(C575,customers[Customer ID],customers[Age],"")</f>
        <v>22</v>
      </c>
      <c r="F575" s="46" t="str" cm="1">
        <f t="array" ref="F575">_xlfn.XLOOKUP(C575,customers[Customer ID],customers[City],"")</f>
        <v>Cleveland</v>
      </c>
      <c r="G575">
        <v>123</v>
      </c>
      <c r="H575" s="47" t="s">
        <v>38</v>
      </c>
      <c r="I575" s="48">
        <v>45102</v>
      </c>
      <c r="J575">
        <v>68</v>
      </c>
      <c r="K575">
        <v>4.5</v>
      </c>
      <c r="L575">
        <f>IF(MONTH(calls[[#This Row],[Date of Call]])&lt;=6,YEAR(calls[[#This Row],[Date of Call]]),YEAR(calls[[#This Row],[Date of Call]])+1)</f>
        <v>2023</v>
      </c>
      <c r="M575" t="str">
        <f>TEXT(calls[[#This Row],[Date of Call]],"DDDD")</f>
        <v>Sunday</v>
      </c>
      <c r="N575" t="str" cm="1">
        <f t="array" ref="N57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75">
        <f>ROUND(calls[[#This Row],[Satisfaction Rating]],0)</f>
        <v>5</v>
      </c>
      <c r="P575" s="53">
        <f t="shared" si="8"/>
        <v>307</v>
      </c>
    </row>
    <row r="576" spans="2:16">
      <c r="B576" t="s">
        <v>656</v>
      </c>
      <c r="C576" t="s">
        <v>63</v>
      </c>
      <c r="D576" s="46" t="str" cm="1">
        <f t="array" ref="D576">_xlfn.XLOOKUP(C576,customers[Customer ID],customers[Gender],"")</f>
        <v>Male</v>
      </c>
      <c r="E576" s="46" cm="1">
        <f t="array" ref="E576">_xlfn.XLOOKUP(C576,customers[Customer ID],customers[Age],"")</f>
        <v>31</v>
      </c>
      <c r="F576" s="46" t="str" cm="1">
        <f t="array" ref="F576">_xlfn.XLOOKUP(C576,customers[Customer ID],customers[City],"")</f>
        <v>Cleveland</v>
      </c>
      <c r="G576">
        <v>133</v>
      </c>
      <c r="H576" s="47" t="s">
        <v>36</v>
      </c>
      <c r="I576" s="48">
        <v>45103</v>
      </c>
      <c r="J576">
        <v>21</v>
      </c>
      <c r="K576">
        <v>3.7</v>
      </c>
      <c r="L576">
        <f>IF(MONTH(calls[[#This Row],[Date of Call]])&lt;=6,YEAR(calls[[#This Row],[Date of Call]]),YEAR(calls[[#This Row],[Date of Call]])+1)</f>
        <v>2023</v>
      </c>
      <c r="M576" t="str">
        <f>TEXT(calls[[#This Row],[Date of Call]],"DDDD")</f>
        <v>Monday</v>
      </c>
      <c r="N576" t="str" cm="1">
        <f t="array" ref="N57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76">
        <f>ROUND(calls[[#This Row],[Satisfaction Rating]],0)</f>
        <v>4</v>
      </c>
      <c r="P576" s="53">
        <f t="shared" si="8"/>
        <v>307</v>
      </c>
    </row>
    <row r="577" spans="2:16">
      <c r="B577" t="s">
        <v>657</v>
      </c>
      <c r="C577" t="s">
        <v>70</v>
      </c>
      <c r="D577" s="46" t="str" cm="1">
        <f t="array" ref="D577">_xlfn.XLOOKUP(C577,customers[Customer ID],customers[Gender],"")</f>
        <v>Male</v>
      </c>
      <c r="E577" s="46" cm="1">
        <f t="array" ref="E577">_xlfn.XLOOKUP(C577,customers[Customer ID],customers[Age],"")</f>
        <v>37</v>
      </c>
      <c r="F577" s="46" t="str" cm="1">
        <f t="array" ref="F577">_xlfn.XLOOKUP(C577,customers[Customer ID],customers[City],"")</f>
        <v>Columbus</v>
      </c>
      <c r="G577">
        <v>126</v>
      </c>
      <c r="H577" s="47" t="s">
        <v>37</v>
      </c>
      <c r="I577" s="48">
        <v>45103</v>
      </c>
      <c r="J577">
        <v>190</v>
      </c>
      <c r="K577">
        <v>2.4</v>
      </c>
      <c r="L577">
        <f>IF(MONTH(calls[[#This Row],[Date of Call]])&lt;=6,YEAR(calls[[#This Row],[Date of Call]]),YEAR(calls[[#This Row],[Date of Call]])+1)</f>
        <v>2023</v>
      </c>
      <c r="M577" t="str">
        <f>TEXT(calls[[#This Row],[Date of Call]],"DDDD")</f>
        <v>Monday</v>
      </c>
      <c r="N577" t="str" cm="1">
        <f t="array" ref="N57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77">
        <f>ROUND(calls[[#This Row],[Satisfaction Rating]],0)</f>
        <v>2</v>
      </c>
      <c r="P577" s="53">
        <f t="shared" si="8"/>
        <v>307</v>
      </c>
    </row>
    <row r="578" spans="2:16">
      <c r="B578" t="s">
        <v>658</v>
      </c>
      <c r="C578" t="s">
        <v>64</v>
      </c>
      <c r="D578" s="46" t="str" cm="1">
        <f t="array" ref="D578">_xlfn.XLOOKUP(C578,customers[Customer ID],customers[Gender],"")</f>
        <v>Female</v>
      </c>
      <c r="E578" s="46" cm="1">
        <f t="array" ref="E578">_xlfn.XLOOKUP(C578,customers[Customer ID],customers[Age],"")</f>
        <v>22</v>
      </c>
      <c r="F578" s="46" t="str" cm="1">
        <f t="array" ref="F578">_xlfn.XLOOKUP(C578,customers[Customer ID],customers[City],"")</f>
        <v>Cleveland</v>
      </c>
      <c r="G578">
        <v>39</v>
      </c>
      <c r="H578" s="47" t="s">
        <v>40</v>
      </c>
      <c r="I578" s="48">
        <v>45103</v>
      </c>
      <c r="J578">
        <v>176</v>
      </c>
      <c r="K578">
        <v>4.3</v>
      </c>
      <c r="L578">
        <f>IF(MONTH(calls[[#This Row],[Date of Call]])&lt;=6,YEAR(calls[[#This Row],[Date of Call]]),YEAR(calls[[#This Row],[Date of Call]])+1)</f>
        <v>2023</v>
      </c>
      <c r="M578" t="str">
        <f>TEXT(calls[[#This Row],[Date of Call]],"DDDD")</f>
        <v>Monday</v>
      </c>
      <c r="N578" t="str" cm="1">
        <f t="array" ref="N57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78">
        <f>ROUND(calls[[#This Row],[Satisfaction Rating]],0)</f>
        <v>4</v>
      </c>
      <c r="P578" s="53">
        <f t="shared" si="8"/>
        <v>307</v>
      </c>
    </row>
    <row r="579" spans="2:16">
      <c r="B579" t="s">
        <v>659</v>
      </c>
      <c r="C579" t="s">
        <v>68</v>
      </c>
      <c r="D579" s="46" t="str" cm="1">
        <f t="array" ref="D579">_xlfn.XLOOKUP(C579,customers[Customer ID],customers[Gender],"")</f>
        <v>Female</v>
      </c>
      <c r="E579" s="46" cm="1">
        <f t="array" ref="E579">_xlfn.XLOOKUP(C579,customers[Customer ID],customers[Age],"")</f>
        <v>43</v>
      </c>
      <c r="F579" s="46" t="str" cm="1">
        <f t="array" ref="F579">_xlfn.XLOOKUP(C579,customers[Customer ID],customers[City],"")</f>
        <v>Cleveland</v>
      </c>
      <c r="G579">
        <v>31</v>
      </c>
      <c r="H579" s="47" t="s">
        <v>38</v>
      </c>
      <c r="I579" s="48">
        <v>45103</v>
      </c>
      <c r="J579">
        <v>172</v>
      </c>
      <c r="K579">
        <v>3.9</v>
      </c>
      <c r="L579">
        <f>IF(MONTH(calls[[#This Row],[Date of Call]])&lt;=6,YEAR(calls[[#This Row],[Date of Call]]),YEAR(calls[[#This Row],[Date of Call]])+1)</f>
        <v>2023</v>
      </c>
      <c r="M579" t="str">
        <f>TEXT(calls[[#This Row],[Date of Call]],"DDDD")</f>
        <v>Monday</v>
      </c>
      <c r="N579" t="str" cm="1">
        <f t="array" ref="N57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79">
        <f>ROUND(calls[[#This Row],[Satisfaction Rating]],0)</f>
        <v>4</v>
      </c>
      <c r="P579" s="53">
        <f t="shared" si="8"/>
        <v>307</v>
      </c>
    </row>
    <row r="580" spans="2:16">
      <c r="B580" t="s">
        <v>660</v>
      </c>
      <c r="C580" t="s">
        <v>61</v>
      </c>
      <c r="D580" s="46" t="str" cm="1">
        <f t="array" ref="D580">_xlfn.XLOOKUP(C580,customers[Customer ID],customers[Gender],"")</f>
        <v>Female</v>
      </c>
      <c r="E580" s="46" cm="1">
        <f t="array" ref="E580">_xlfn.XLOOKUP(C580,customers[Customer ID],customers[Age],"")</f>
        <v>30</v>
      </c>
      <c r="F580" s="46" t="str" cm="1">
        <f t="array" ref="F580">_xlfn.XLOOKUP(C580,customers[Customer ID],customers[City],"")</f>
        <v>Cincinnati</v>
      </c>
      <c r="G580">
        <v>25</v>
      </c>
      <c r="H580" s="47" t="s">
        <v>36</v>
      </c>
      <c r="I580" s="48">
        <v>45103</v>
      </c>
      <c r="J580">
        <v>84</v>
      </c>
      <c r="K580">
        <v>4.5</v>
      </c>
      <c r="L580">
        <f>IF(MONTH(calls[[#This Row],[Date of Call]])&lt;=6,YEAR(calls[[#This Row],[Date of Call]]),YEAR(calls[[#This Row],[Date of Call]])+1)</f>
        <v>2023</v>
      </c>
      <c r="M580" t="str">
        <f>TEXT(calls[[#This Row],[Date of Call]],"DDDD")</f>
        <v>Monday</v>
      </c>
      <c r="N580" t="str" cm="1">
        <f t="array" ref="N580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580">
        <f>ROUND(calls[[#This Row],[Satisfaction Rating]],0)</f>
        <v>5</v>
      </c>
      <c r="P580" s="53">
        <f t="shared" ref="P580:P643" si="9">COUNTIF(O:O,5)</f>
        <v>307</v>
      </c>
    </row>
    <row r="581" spans="2:16">
      <c r="B581" t="s">
        <v>661</v>
      </c>
      <c r="C581" t="s">
        <v>60</v>
      </c>
      <c r="D581" s="46" t="str" cm="1">
        <f t="array" ref="D581">_xlfn.XLOOKUP(C581,customers[Customer ID],customers[Gender],"")</f>
        <v>Male</v>
      </c>
      <c r="E581" s="46" cm="1">
        <f t="array" ref="E581">_xlfn.XLOOKUP(C581,customers[Customer ID],customers[Age],"")</f>
        <v>36</v>
      </c>
      <c r="F581" s="46" t="str" cm="1">
        <f t="array" ref="F581">_xlfn.XLOOKUP(C581,customers[Customer ID],customers[City],"")</f>
        <v>Cincinnati</v>
      </c>
      <c r="G581">
        <v>132</v>
      </c>
      <c r="H581" s="47" t="s">
        <v>39</v>
      </c>
      <c r="I581" s="48">
        <v>45104</v>
      </c>
      <c r="J581">
        <v>42</v>
      </c>
      <c r="K581">
        <v>5</v>
      </c>
      <c r="L581">
        <f>IF(MONTH(calls[[#This Row],[Date of Call]])&lt;=6,YEAR(calls[[#This Row],[Date of Call]]),YEAR(calls[[#This Row],[Date of Call]])+1)</f>
        <v>2023</v>
      </c>
      <c r="M581" t="str">
        <f>TEXT(calls[[#This Row],[Date of Call]],"DDDD")</f>
        <v>Tuesday</v>
      </c>
      <c r="N581" t="str" cm="1">
        <f t="array" ref="N58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81">
        <f>ROUND(calls[[#This Row],[Satisfaction Rating]],0)</f>
        <v>5</v>
      </c>
      <c r="P581" s="53">
        <f t="shared" si="9"/>
        <v>307</v>
      </c>
    </row>
    <row r="582" spans="2:16">
      <c r="B582" t="s">
        <v>662</v>
      </c>
      <c r="C582" t="s">
        <v>67</v>
      </c>
      <c r="D582" s="46" t="str" cm="1">
        <f t="array" ref="D582">_xlfn.XLOOKUP(C582,customers[Customer ID],customers[Gender],"")</f>
        <v>Female</v>
      </c>
      <c r="E582" s="46" cm="1">
        <f t="array" ref="E582">_xlfn.XLOOKUP(C582,customers[Customer ID],customers[Age],"")</f>
        <v>37</v>
      </c>
      <c r="F582" s="46" t="str" cm="1">
        <f t="array" ref="F582">_xlfn.XLOOKUP(C582,customers[Customer ID],customers[City],"")</f>
        <v>Cleveland</v>
      </c>
      <c r="G582">
        <v>63</v>
      </c>
      <c r="H582" s="47" t="s">
        <v>37</v>
      </c>
      <c r="I582" s="48">
        <v>45104</v>
      </c>
      <c r="J582">
        <v>70</v>
      </c>
      <c r="K582">
        <v>1.6</v>
      </c>
      <c r="L582">
        <f>IF(MONTH(calls[[#This Row],[Date of Call]])&lt;=6,YEAR(calls[[#This Row],[Date of Call]]),YEAR(calls[[#This Row],[Date of Call]])+1)</f>
        <v>2023</v>
      </c>
      <c r="M582" t="str">
        <f>TEXT(calls[[#This Row],[Date of Call]],"DDDD")</f>
        <v>Tuesday</v>
      </c>
      <c r="N582" t="str" cm="1">
        <f t="array" ref="N5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82">
        <f>ROUND(calls[[#This Row],[Satisfaction Rating]],0)</f>
        <v>2</v>
      </c>
      <c r="P582" s="53">
        <f t="shared" si="9"/>
        <v>307</v>
      </c>
    </row>
    <row r="583" spans="2:16">
      <c r="B583" t="s">
        <v>663</v>
      </c>
      <c r="C583" t="s">
        <v>72</v>
      </c>
      <c r="D583" s="46" t="str" cm="1">
        <f t="array" ref="D583">_xlfn.XLOOKUP(C583,customers[Customer ID],customers[Gender],"")</f>
        <v>Female</v>
      </c>
      <c r="E583" s="46" cm="1">
        <f t="array" ref="E583">_xlfn.XLOOKUP(C583,customers[Customer ID],customers[Age],"")</f>
        <v>25</v>
      </c>
      <c r="F583" s="46" t="str" cm="1">
        <f t="array" ref="F583">_xlfn.XLOOKUP(C583,customers[Customer ID],customers[City],"")</f>
        <v>Columbus</v>
      </c>
      <c r="G583">
        <v>135</v>
      </c>
      <c r="H583" s="47" t="s">
        <v>39</v>
      </c>
      <c r="I583" s="48">
        <v>45104</v>
      </c>
      <c r="J583">
        <v>60</v>
      </c>
      <c r="K583">
        <v>4.3</v>
      </c>
      <c r="L583">
        <f>IF(MONTH(calls[[#This Row],[Date of Call]])&lt;=6,YEAR(calls[[#This Row],[Date of Call]]),YEAR(calls[[#This Row],[Date of Call]])+1)</f>
        <v>2023</v>
      </c>
      <c r="M583" t="str">
        <f>TEXT(calls[[#This Row],[Date of Call]],"DDDD")</f>
        <v>Tuesday</v>
      </c>
      <c r="N583" t="str" cm="1">
        <f t="array" ref="N58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83">
        <f>ROUND(calls[[#This Row],[Satisfaction Rating]],0)</f>
        <v>4</v>
      </c>
      <c r="P583" s="53">
        <f t="shared" si="9"/>
        <v>307</v>
      </c>
    </row>
    <row r="584" spans="2:16">
      <c r="B584" t="s">
        <v>664</v>
      </c>
      <c r="C584" t="s">
        <v>66</v>
      </c>
      <c r="D584" s="46" t="str" cm="1">
        <f t="array" ref="D584">_xlfn.XLOOKUP(C584,customers[Customer ID],customers[Gender],"")</f>
        <v>Female</v>
      </c>
      <c r="E584" s="46" cm="1">
        <f t="array" ref="E584">_xlfn.XLOOKUP(C584,customers[Customer ID],customers[Age],"")</f>
        <v>30</v>
      </c>
      <c r="F584" s="46" t="str" cm="1">
        <f t="array" ref="F584">_xlfn.XLOOKUP(C584,customers[Customer ID],customers[City],"")</f>
        <v>Cleveland</v>
      </c>
      <c r="G584">
        <v>101</v>
      </c>
      <c r="H584" s="47" t="s">
        <v>37</v>
      </c>
      <c r="I584" s="48">
        <v>45104</v>
      </c>
      <c r="J584">
        <v>84</v>
      </c>
      <c r="K584">
        <v>3.5</v>
      </c>
      <c r="L584">
        <f>IF(MONTH(calls[[#This Row],[Date of Call]])&lt;=6,YEAR(calls[[#This Row],[Date of Call]]),YEAR(calls[[#This Row],[Date of Call]])+1)</f>
        <v>2023</v>
      </c>
      <c r="M584" t="str">
        <f>TEXT(calls[[#This Row],[Date of Call]],"DDDD")</f>
        <v>Tuesday</v>
      </c>
      <c r="N584" t="str" cm="1">
        <f t="array" ref="N5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84">
        <f>ROUND(calls[[#This Row],[Satisfaction Rating]],0)</f>
        <v>4</v>
      </c>
      <c r="P584" s="53">
        <f t="shared" si="9"/>
        <v>307</v>
      </c>
    </row>
    <row r="585" spans="2:16">
      <c r="B585" t="s">
        <v>665</v>
      </c>
      <c r="C585" t="s">
        <v>63</v>
      </c>
      <c r="D585" s="46" t="str" cm="1">
        <f t="array" ref="D585">_xlfn.XLOOKUP(C585,customers[Customer ID],customers[Gender],"")</f>
        <v>Male</v>
      </c>
      <c r="E585" s="46" cm="1">
        <f t="array" ref="E585">_xlfn.XLOOKUP(C585,customers[Customer ID],customers[Age],"")</f>
        <v>31</v>
      </c>
      <c r="F585" s="46" t="str" cm="1">
        <f t="array" ref="F585">_xlfn.XLOOKUP(C585,customers[Customer ID],customers[City],"")</f>
        <v>Cleveland</v>
      </c>
      <c r="G585">
        <v>80</v>
      </c>
      <c r="H585" s="47" t="s">
        <v>40</v>
      </c>
      <c r="I585" s="48">
        <v>45105</v>
      </c>
      <c r="J585">
        <v>68</v>
      </c>
      <c r="K585">
        <v>3.1</v>
      </c>
      <c r="L585">
        <f>IF(MONTH(calls[[#This Row],[Date of Call]])&lt;=6,YEAR(calls[[#This Row],[Date of Call]]),YEAR(calls[[#This Row],[Date of Call]])+1)</f>
        <v>2023</v>
      </c>
      <c r="M585" t="str">
        <f>TEXT(calls[[#This Row],[Date of Call]],"DDDD")</f>
        <v>Wednesday</v>
      </c>
      <c r="N585" t="str" cm="1">
        <f t="array" ref="N5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85">
        <f>ROUND(calls[[#This Row],[Satisfaction Rating]],0)</f>
        <v>3</v>
      </c>
      <c r="P585" s="53">
        <f t="shared" si="9"/>
        <v>307</v>
      </c>
    </row>
    <row r="586" spans="2:16">
      <c r="B586" t="s">
        <v>666</v>
      </c>
      <c r="C586" t="s">
        <v>69</v>
      </c>
      <c r="D586" s="46" t="str" cm="1">
        <f t="array" ref="D586">_xlfn.XLOOKUP(C586,customers[Customer ID],customers[Gender],"")</f>
        <v>Male</v>
      </c>
      <c r="E586" s="46" cm="1">
        <f t="array" ref="E586">_xlfn.XLOOKUP(C586,customers[Customer ID],customers[Age],"")</f>
        <v>41</v>
      </c>
      <c r="F586" s="46" t="str" cm="1">
        <f t="array" ref="F586">_xlfn.XLOOKUP(C586,customers[Customer ID],customers[City],"")</f>
        <v>Columbus</v>
      </c>
      <c r="G586">
        <v>28</v>
      </c>
      <c r="H586" s="47" t="s">
        <v>40</v>
      </c>
      <c r="I586" s="48">
        <v>45105</v>
      </c>
      <c r="J586">
        <v>44</v>
      </c>
      <c r="K586">
        <v>2.9</v>
      </c>
      <c r="L586">
        <f>IF(MONTH(calls[[#This Row],[Date of Call]])&lt;=6,YEAR(calls[[#This Row],[Date of Call]]),YEAR(calls[[#This Row],[Date of Call]])+1)</f>
        <v>2023</v>
      </c>
      <c r="M586" t="str">
        <f>TEXT(calls[[#This Row],[Date of Call]],"DDDD")</f>
        <v>Wednesday</v>
      </c>
      <c r="N586" t="str" cm="1">
        <f t="array" ref="N58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586">
        <f>ROUND(calls[[#This Row],[Satisfaction Rating]],0)</f>
        <v>3</v>
      </c>
      <c r="P586" s="53">
        <f t="shared" si="9"/>
        <v>307</v>
      </c>
    </row>
    <row r="587" spans="2:16">
      <c r="B587" t="s">
        <v>667</v>
      </c>
      <c r="C587" t="s">
        <v>66</v>
      </c>
      <c r="D587" s="46" t="str" cm="1">
        <f t="array" ref="D587">_xlfn.XLOOKUP(C587,customers[Customer ID],customers[Gender],"")</f>
        <v>Female</v>
      </c>
      <c r="E587" s="46" cm="1">
        <f t="array" ref="E587">_xlfn.XLOOKUP(C587,customers[Customer ID],customers[Age],"")</f>
        <v>30</v>
      </c>
      <c r="F587" s="46" t="str" cm="1">
        <f t="array" ref="F587">_xlfn.XLOOKUP(C587,customers[Customer ID],customers[City],"")</f>
        <v>Cleveland</v>
      </c>
      <c r="G587">
        <v>102</v>
      </c>
      <c r="H587" s="47" t="s">
        <v>39</v>
      </c>
      <c r="I587" s="48">
        <v>45106</v>
      </c>
      <c r="J587">
        <v>99</v>
      </c>
      <c r="K587">
        <v>3.2</v>
      </c>
      <c r="L587">
        <f>IF(MONTH(calls[[#This Row],[Date of Call]])&lt;=6,YEAR(calls[[#This Row],[Date of Call]]),YEAR(calls[[#This Row],[Date of Call]])+1)</f>
        <v>2023</v>
      </c>
      <c r="M587" t="str">
        <f>TEXT(calls[[#This Row],[Date of Call]],"DDDD")</f>
        <v>Thursday</v>
      </c>
      <c r="N587" t="str" cm="1">
        <f t="array" ref="N5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87">
        <f>ROUND(calls[[#This Row],[Satisfaction Rating]],0)</f>
        <v>3</v>
      </c>
      <c r="P587" s="53">
        <f t="shared" si="9"/>
        <v>307</v>
      </c>
    </row>
    <row r="588" spans="2:16">
      <c r="B588" t="s">
        <v>668</v>
      </c>
      <c r="C588" t="s">
        <v>67</v>
      </c>
      <c r="D588" s="46" t="str" cm="1">
        <f t="array" ref="D588">_xlfn.XLOOKUP(C588,customers[Customer ID],customers[Gender],"")</f>
        <v>Female</v>
      </c>
      <c r="E588" s="46" cm="1">
        <f t="array" ref="E588">_xlfn.XLOOKUP(C588,customers[Customer ID],customers[Age],"")</f>
        <v>37</v>
      </c>
      <c r="F588" s="46" t="str" cm="1">
        <f t="array" ref="F588">_xlfn.XLOOKUP(C588,customers[Customer ID],customers[City],"")</f>
        <v>Cleveland</v>
      </c>
      <c r="G588">
        <v>60</v>
      </c>
      <c r="H588" s="47" t="s">
        <v>39</v>
      </c>
      <c r="I588" s="48">
        <v>45107</v>
      </c>
      <c r="J588">
        <v>66</v>
      </c>
      <c r="K588">
        <v>3.2</v>
      </c>
      <c r="L588">
        <f>IF(MONTH(calls[[#This Row],[Date of Call]])&lt;=6,YEAR(calls[[#This Row],[Date of Call]]),YEAR(calls[[#This Row],[Date of Call]])+1)</f>
        <v>2023</v>
      </c>
      <c r="M588" t="str">
        <f>TEXT(calls[[#This Row],[Date of Call]],"DDDD")</f>
        <v>Friday</v>
      </c>
      <c r="N588" t="str" cm="1">
        <f t="array" ref="N58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88">
        <f>ROUND(calls[[#This Row],[Satisfaction Rating]],0)</f>
        <v>3</v>
      </c>
      <c r="P588" s="53">
        <f t="shared" si="9"/>
        <v>307</v>
      </c>
    </row>
    <row r="589" spans="2:16">
      <c r="B589" t="s">
        <v>669</v>
      </c>
      <c r="C589" t="s">
        <v>73</v>
      </c>
      <c r="D589" s="46" t="str" cm="1">
        <f t="array" ref="D589">_xlfn.XLOOKUP(C589,customers[Customer ID],customers[Gender],"")</f>
        <v>Female</v>
      </c>
      <c r="E589" s="46" cm="1">
        <f t="array" ref="E589">_xlfn.XLOOKUP(C589,customers[Customer ID],customers[Age],"")</f>
        <v>38</v>
      </c>
      <c r="F589" s="46" t="str" cm="1">
        <f t="array" ref="F589">_xlfn.XLOOKUP(C589,customers[Customer ID],customers[City],"")</f>
        <v>Columbus</v>
      </c>
      <c r="G589">
        <v>103</v>
      </c>
      <c r="H589" s="47" t="s">
        <v>39</v>
      </c>
      <c r="I589" s="48">
        <v>45107</v>
      </c>
      <c r="J589">
        <v>102</v>
      </c>
      <c r="K589">
        <v>4.5</v>
      </c>
      <c r="L589">
        <f>IF(MONTH(calls[[#This Row],[Date of Call]])&lt;=6,YEAR(calls[[#This Row],[Date of Call]]),YEAR(calls[[#This Row],[Date of Call]])+1)</f>
        <v>2023</v>
      </c>
      <c r="M589" t="str">
        <f>TEXT(calls[[#This Row],[Date of Call]],"DDDD")</f>
        <v>Friday</v>
      </c>
      <c r="N589" t="str" cm="1">
        <f t="array" ref="N5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89">
        <f>ROUND(calls[[#This Row],[Satisfaction Rating]],0)</f>
        <v>5</v>
      </c>
      <c r="P589" s="53">
        <f t="shared" si="9"/>
        <v>307</v>
      </c>
    </row>
    <row r="590" spans="2:16">
      <c r="B590" t="s">
        <v>670</v>
      </c>
      <c r="C590" t="s">
        <v>63</v>
      </c>
      <c r="D590" s="46" t="str" cm="1">
        <f t="array" ref="D590">_xlfn.XLOOKUP(C590,customers[Customer ID],customers[Gender],"")</f>
        <v>Male</v>
      </c>
      <c r="E590" s="46" cm="1">
        <f t="array" ref="E590">_xlfn.XLOOKUP(C590,customers[Customer ID],customers[Age],"")</f>
        <v>31</v>
      </c>
      <c r="F590" s="46" t="str" cm="1">
        <f t="array" ref="F590">_xlfn.XLOOKUP(C590,customers[Customer ID],customers[City],"")</f>
        <v>Cleveland</v>
      </c>
      <c r="G590">
        <v>90</v>
      </c>
      <c r="H590" s="47" t="s">
        <v>40</v>
      </c>
      <c r="I590" s="48">
        <v>45108</v>
      </c>
      <c r="J590">
        <v>129</v>
      </c>
      <c r="K590">
        <v>3.9</v>
      </c>
      <c r="L590">
        <f>IF(MONTH(calls[[#This Row],[Date of Call]])&lt;=6,YEAR(calls[[#This Row],[Date of Call]]),YEAR(calls[[#This Row],[Date of Call]])+1)</f>
        <v>2024</v>
      </c>
      <c r="M590" t="str">
        <f>TEXT(calls[[#This Row],[Date of Call]],"DDDD")</f>
        <v>Saturday</v>
      </c>
      <c r="N590" t="str" cm="1">
        <f t="array" ref="N5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90">
        <f>ROUND(calls[[#This Row],[Satisfaction Rating]],0)</f>
        <v>4</v>
      </c>
      <c r="P590" s="53">
        <f t="shared" si="9"/>
        <v>307</v>
      </c>
    </row>
    <row r="591" spans="2:16">
      <c r="B591" t="s">
        <v>671</v>
      </c>
      <c r="C591" t="s">
        <v>62</v>
      </c>
      <c r="D591" s="46" t="str" cm="1">
        <f t="array" ref="D591">_xlfn.XLOOKUP(C591,customers[Customer ID],customers[Gender],"")</f>
        <v>Female</v>
      </c>
      <c r="E591" s="46" cm="1">
        <f t="array" ref="E591">_xlfn.XLOOKUP(C591,customers[Customer ID],customers[Age],"")</f>
        <v>28</v>
      </c>
      <c r="F591" s="46" t="str" cm="1">
        <f t="array" ref="F591">_xlfn.XLOOKUP(C591,customers[Customer ID],customers[City],"")</f>
        <v>Cincinnati</v>
      </c>
      <c r="G591">
        <v>88</v>
      </c>
      <c r="H591" s="47" t="s">
        <v>39</v>
      </c>
      <c r="I591" s="48">
        <v>45108</v>
      </c>
      <c r="J591">
        <v>80</v>
      </c>
      <c r="K591">
        <v>4.2</v>
      </c>
      <c r="L591">
        <f>IF(MONTH(calls[[#This Row],[Date of Call]])&lt;=6,YEAR(calls[[#This Row],[Date of Call]]),YEAR(calls[[#This Row],[Date of Call]])+1)</f>
        <v>2024</v>
      </c>
      <c r="M591" t="str">
        <f>TEXT(calls[[#This Row],[Date of Call]],"DDDD")</f>
        <v>Saturday</v>
      </c>
      <c r="N591" t="str" cm="1">
        <f t="array" ref="N5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91">
        <f>ROUND(calls[[#This Row],[Satisfaction Rating]],0)</f>
        <v>4</v>
      </c>
      <c r="P591" s="53">
        <f t="shared" si="9"/>
        <v>307</v>
      </c>
    </row>
    <row r="592" spans="2:16">
      <c r="B592" t="s">
        <v>672</v>
      </c>
      <c r="C592" t="s">
        <v>73</v>
      </c>
      <c r="D592" s="46" t="str" cm="1">
        <f t="array" ref="D592">_xlfn.XLOOKUP(C592,customers[Customer ID],customers[Gender],"")</f>
        <v>Female</v>
      </c>
      <c r="E592" s="46" cm="1">
        <f t="array" ref="E592">_xlfn.XLOOKUP(C592,customers[Customer ID],customers[Age],"")</f>
        <v>38</v>
      </c>
      <c r="F592" s="46" t="str" cm="1">
        <f t="array" ref="F592">_xlfn.XLOOKUP(C592,customers[Customer ID],customers[City],"")</f>
        <v>Columbus</v>
      </c>
      <c r="G592">
        <v>37</v>
      </c>
      <c r="H592" s="47" t="s">
        <v>39</v>
      </c>
      <c r="I592" s="48">
        <v>45108</v>
      </c>
      <c r="J592">
        <v>54</v>
      </c>
      <c r="K592">
        <v>1.8</v>
      </c>
      <c r="L592">
        <f>IF(MONTH(calls[[#This Row],[Date of Call]])&lt;=6,YEAR(calls[[#This Row],[Date of Call]]),YEAR(calls[[#This Row],[Date of Call]])+1)</f>
        <v>2024</v>
      </c>
      <c r="M592" t="str">
        <f>TEXT(calls[[#This Row],[Date of Call]],"DDDD")</f>
        <v>Saturday</v>
      </c>
      <c r="N592" t="str" cm="1">
        <f t="array" ref="N59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92">
        <f>ROUND(calls[[#This Row],[Satisfaction Rating]],0)</f>
        <v>2</v>
      </c>
      <c r="P592" s="53">
        <f t="shared" si="9"/>
        <v>307</v>
      </c>
    </row>
    <row r="593" spans="2:16">
      <c r="B593" t="s">
        <v>673</v>
      </c>
      <c r="C593" t="s">
        <v>69</v>
      </c>
      <c r="D593" s="46" t="str" cm="1">
        <f t="array" ref="D593">_xlfn.XLOOKUP(C593,customers[Customer ID],customers[Gender],"")</f>
        <v>Male</v>
      </c>
      <c r="E593" s="46" cm="1">
        <f t="array" ref="E593">_xlfn.XLOOKUP(C593,customers[Customer ID],customers[Age],"")</f>
        <v>41</v>
      </c>
      <c r="F593" s="46" t="str" cm="1">
        <f t="array" ref="F593">_xlfn.XLOOKUP(C593,customers[Customer ID],customers[City],"")</f>
        <v>Columbus</v>
      </c>
      <c r="G593">
        <v>142</v>
      </c>
      <c r="H593" s="47" t="s">
        <v>40</v>
      </c>
      <c r="I593" s="48">
        <v>45108</v>
      </c>
      <c r="J593">
        <v>116</v>
      </c>
      <c r="K593">
        <v>4.2</v>
      </c>
      <c r="L593">
        <f>IF(MONTH(calls[[#This Row],[Date of Call]])&lt;=6,YEAR(calls[[#This Row],[Date of Call]]),YEAR(calls[[#This Row],[Date of Call]])+1)</f>
        <v>2024</v>
      </c>
      <c r="M593" t="str">
        <f>TEXT(calls[[#This Row],[Date of Call]],"DDDD")</f>
        <v>Saturday</v>
      </c>
      <c r="N593" t="str" cm="1">
        <f t="array" ref="N59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93">
        <f>ROUND(calls[[#This Row],[Satisfaction Rating]],0)</f>
        <v>4</v>
      </c>
      <c r="P593" s="53">
        <f t="shared" si="9"/>
        <v>307</v>
      </c>
    </row>
    <row r="594" spans="2:16">
      <c r="B594" t="s">
        <v>674</v>
      </c>
      <c r="C594" t="s">
        <v>69</v>
      </c>
      <c r="D594" s="46" t="str" cm="1">
        <f t="array" ref="D594">_xlfn.XLOOKUP(C594,customers[Customer ID],customers[Gender],"")</f>
        <v>Male</v>
      </c>
      <c r="E594" s="46" cm="1">
        <f t="array" ref="E594">_xlfn.XLOOKUP(C594,customers[Customer ID],customers[Age],"")</f>
        <v>41</v>
      </c>
      <c r="F594" s="46" t="str" cm="1">
        <f t="array" ref="F594">_xlfn.XLOOKUP(C594,customers[Customer ID],customers[City],"")</f>
        <v>Columbus</v>
      </c>
      <c r="G594">
        <v>153</v>
      </c>
      <c r="H594" s="47" t="s">
        <v>36</v>
      </c>
      <c r="I594" s="48">
        <v>45108</v>
      </c>
      <c r="J594">
        <v>102</v>
      </c>
      <c r="K594">
        <v>3.1</v>
      </c>
      <c r="L594">
        <f>IF(MONTH(calls[[#This Row],[Date of Call]])&lt;=6,YEAR(calls[[#This Row],[Date of Call]]),YEAR(calls[[#This Row],[Date of Call]])+1)</f>
        <v>2024</v>
      </c>
      <c r="M594" t="str">
        <f>TEXT(calls[[#This Row],[Date of Call]],"DDDD")</f>
        <v>Saturday</v>
      </c>
      <c r="N594" t="str" cm="1">
        <f t="array" ref="N59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94">
        <f>ROUND(calls[[#This Row],[Satisfaction Rating]],0)</f>
        <v>3</v>
      </c>
      <c r="P594" s="53">
        <f t="shared" si="9"/>
        <v>307</v>
      </c>
    </row>
    <row r="595" spans="2:16">
      <c r="B595" t="s">
        <v>675</v>
      </c>
      <c r="C595" t="s">
        <v>71</v>
      </c>
      <c r="D595" s="46" t="str" cm="1">
        <f t="array" ref="D595">_xlfn.XLOOKUP(C595,customers[Customer ID],customers[Gender],"")</f>
        <v>Male</v>
      </c>
      <c r="E595" s="46" cm="1">
        <f t="array" ref="E595">_xlfn.XLOOKUP(C595,customers[Customer ID],customers[Age],"")</f>
        <v>23</v>
      </c>
      <c r="F595" s="46" t="str" cm="1">
        <f t="array" ref="F595">_xlfn.XLOOKUP(C595,customers[Customer ID],customers[City],"")</f>
        <v>Columbus</v>
      </c>
      <c r="G595">
        <v>128</v>
      </c>
      <c r="H595" s="47" t="s">
        <v>37</v>
      </c>
      <c r="I595" s="48">
        <v>45108</v>
      </c>
      <c r="J595">
        <v>140</v>
      </c>
      <c r="K595">
        <v>4.3</v>
      </c>
      <c r="L595">
        <f>IF(MONTH(calls[[#This Row],[Date of Call]])&lt;=6,YEAR(calls[[#This Row],[Date of Call]]),YEAR(calls[[#This Row],[Date of Call]])+1)</f>
        <v>2024</v>
      </c>
      <c r="M595" t="str">
        <f>TEXT(calls[[#This Row],[Date of Call]],"DDDD")</f>
        <v>Saturday</v>
      </c>
      <c r="N595" t="str" cm="1">
        <f t="array" ref="N59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95">
        <f>ROUND(calls[[#This Row],[Satisfaction Rating]],0)</f>
        <v>4</v>
      </c>
      <c r="P595" s="53">
        <f t="shared" si="9"/>
        <v>307</v>
      </c>
    </row>
    <row r="596" spans="2:16">
      <c r="B596" t="s">
        <v>676</v>
      </c>
      <c r="C596" t="s">
        <v>67</v>
      </c>
      <c r="D596" s="46" t="str" cm="1">
        <f t="array" ref="D596">_xlfn.XLOOKUP(C596,customers[Customer ID],customers[Gender],"")</f>
        <v>Female</v>
      </c>
      <c r="E596" s="46" cm="1">
        <f t="array" ref="E596">_xlfn.XLOOKUP(C596,customers[Customer ID],customers[Age],"")</f>
        <v>37</v>
      </c>
      <c r="F596" s="46" t="str" cm="1">
        <f t="array" ref="F596">_xlfn.XLOOKUP(C596,customers[Customer ID],customers[City],"")</f>
        <v>Cleveland</v>
      </c>
      <c r="G596">
        <v>110</v>
      </c>
      <c r="H596" s="47" t="s">
        <v>37</v>
      </c>
      <c r="I596" s="48">
        <v>45109</v>
      </c>
      <c r="J596">
        <v>104</v>
      </c>
      <c r="K596">
        <v>4.4</v>
      </c>
      <c r="L596">
        <f>IF(MONTH(calls[[#This Row],[Date of Call]])&lt;=6,YEAR(calls[[#This Row],[Date of Call]]),YEAR(calls[[#This Row],[Date of Call]])+1)</f>
        <v>2024</v>
      </c>
      <c r="M596" t="str">
        <f>TEXT(calls[[#This Row],[Date of Call]],"DDDD")</f>
        <v>Sunday</v>
      </c>
      <c r="N596" t="str" cm="1">
        <f t="array" ref="N59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96">
        <f>ROUND(calls[[#This Row],[Satisfaction Rating]],0)</f>
        <v>4</v>
      </c>
      <c r="P596" s="53">
        <f t="shared" si="9"/>
        <v>307</v>
      </c>
    </row>
    <row r="597" spans="2:16">
      <c r="B597" t="s">
        <v>677</v>
      </c>
      <c r="C597" t="s">
        <v>71</v>
      </c>
      <c r="D597" s="46" t="str" cm="1">
        <f t="array" ref="D597">_xlfn.XLOOKUP(C597,customers[Customer ID],customers[Gender],"")</f>
        <v>Male</v>
      </c>
      <c r="E597" s="46" cm="1">
        <f t="array" ref="E597">_xlfn.XLOOKUP(C597,customers[Customer ID],customers[Age],"")</f>
        <v>23</v>
      </c>
      <c r="F597" s="46" t="str" cm="1">
        <f t="array" ref="F597">_xlfn.XLOOKUP(C597,customers[Customer ID],customers[City],"")</f>
        <v>Columbus</v>
      </c>
      <c r="G597">
        <v>139</v>
      </c>
      <c r="H597" s="47" t="s">
        <v>39</v>
      </c>
      <c r="I597" s="48">
        <v>45109</v>
      </c>
      <c r="J597">
        <v>81</v>
      </c>
      <c r="K597">
        <v>4.4</v>
      </c>
      <c r="L597">
        <f>IF(MONTH(calls[[#This Row],[Date of Call]])&lt;=6,YEAR(calls[[#This Row],[Date of Call]]),YEAR(calls[[#This Row],[Date of Call]])+1)</f>
        <v>2024</v>
      </c>
      <c r="M597" t="str">
        <f>TEXT(calls[[#This Row],[Date of Call]],"DDDD")</f>
        <v>Sunday</v>
      </c>
      <c r="N597" t="str" cm="1">
        <f t="array" ref="N59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597">
        <f>ROUND(calls[[#This Row],[Satisfaction Rating]],0)</f>
        <v>4</v>
      </c>
      <c r="P597" s="53">
        <f t="shared" si="9"/>
        <v>307</v>
      </c>
    </row>
    <row r="598" spans="2:16">
      <c r="B598" t="s">
        <v>678</v>
      </c>
      <c r="C598" t="s">
        <v>66</v>
      </c>
      <c r="D598" s="46" t="str" cm="1">
        <f t="array" ref="D598">_xlfn.XLOOKUP(C598,customers[Customer ID],customers[Gender],"")</f>
        <v>Female</v>
      </c>
      <c r="E598" s="46" cm="1">
        <f t="array" ref="E598">_xlfn.XLOOKUP(C598,customers[Customer ID],customers[Age],"")</f>
        <v>30</v>
      </c>
      <c r="F598" s="46" t="str" cm="1">
        <f t="array" ref="F598">_xlfn.XLOOKUP(C598,customers[Customer ID],customers[City],"")</f>
        <v>Cleveland</v>
      </c>
      <c r="G598">
        <v>109</v>
      </c>
      <c r="H598" s="47" t="s">
        <v>38</v>
      </c>
      <c r="I598" s="48">
        <v>45111</v>
      </c>
      <c r="J598">
        <v>140</v>
      </c>
      <c r="K598">
        <v>2.4</v>
      </c>
      <c r="L598">
        <f>IF(MONTH(calls[[#This Row],[Date of Call]])&lt;=6,YEAR(calls[[#This Row],[Date of Call]]),YEAR(calls[[#This Row],[Date of Call]])+1)</f>
        <v>2024</v>
      </c>
      <c r="M598" t="str">
        <f>TEXT(calls[[#This Row],[Date of Call]],"DDDD")</f>
        <v>Tuesday</v>
      </c>
      <c r="N598" t="str" cm="1">
        <f t="array" ref="N5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598">
        <f>ROUND(calls[[#This Row],[Satisfaction Rating]],0)</f>
        <v>2</v>
      </c>
      <c r="P598" s="53">
        <f t="shared" si="9"/>
        <v>307</v>
      </c>
    </row>
    <row r="599" spans="2:16">
      <c r="B599" t="s">
        <v>679</v>
      </c>
      <c r="C599" t="s">
        <v>60</v>
      </c>
      <c r="D599" s="46" t="str" cm="1">
        <f t="array" ref="D599">_xlfn.XLOOKUP(C599,customers[Customer ID],customers[Gender],"")</f>
        <v>Male</v>
      </c>
      <c r="E599" s="46" cm="1">
        <f t="array" ref="E599">_xlfn.XLOOKUP(C599,customers[Customer ID],customers[Age],"")</f>
        <v>36</v>
      </c>
      <c r="F599" s="46" t="str" cm="1">
        <f t="array" ref="F599">_xlfn.XLOOKUP(C599,customers[Customer ID],customers[City],"")</f>
        <v>Cincinnati</v>
      </c>
      <c r="G599">
        <v>57</v>
      </c>
      <c r="H599" s="47" t="s">
        <v>40</v>
      </c>
      <c r="I599" s="48">
        <v>45112</v>
      </c>
      <c r="J599">
        <v>120</v>
      </c>
      <c r="K599">
        <v>3.5</v>
      </c>
      <c r="L599">
        <f>IF(MONTH(calls[[#This Row],[Date of Call]])&lt;=6,YEAR(calls[[#This Row],[Date of Call]]),YEAR(calls[[#This Row],[Date of Call]])+1)</f>
        <v>2024</v>
      </c>
      <c r="M599" t="str">
        <f>TEXT(calls[[#This Row],[Date of Call]],"DDDD")</f>
        <v>Wednesday</v>
      </c>
      <c r="N599" t="str" cm="1">
        <f t="array" ref="N59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599">
        <f>ROUND(calls[[#This Row],[Satisfaction Rating]],0)</f>
        <v>4</v>
      </c>
      <c r="P599" s="53">
        <f t="shared" si="9"/>
        <v>307</v>
      </c>
    </row>
    <row r="600" spans="2:16">
      <c r="B600" t="s">
        <v>680</v>
      </c>
      <c r="C600" t="s">
        <v>66</v>
      </c>
      <c r="D600" s="46" t="str" cm="1">
        <f t="array" ref="D600">_xlfn.XLOOKUP(C600,customers[Customer ID],customers[Gender],"")</f>
        <v>Female</v>
      </c>
      <c r="E600" s="46" cm="1">
        <f t="array" ref="E600">_xlfn.XLOOKUP(C600,customers[Customer ID],customers[Age],"")</f>
        <v>30</v>
      </c>
      <c r="F600" s="46" t="str" cm="1">
        <f t="array" ref="F600">_xlfn.XLOOKUP(C600,customers[Customer ID],customers[City],"")</f>
        <v>Cleveland</v>
      </c>
      <c r="G600">
        <v>68</v>
      </c>
      <c r="H600" s="47" t="s">
        <v>39</v>
      </c>
      <c r="I600" s="48">
        <v>45112</v>
      </c>
      <c r="J600">
        <v>41</v>
      </c>
      <c r="K600">
        <v>3.1</v>
      </c>
      <c r="L600">
        <f>IF(MONTH(calls[[#This Row],[Date of Call]])&lt;=6,YEAR(calls[[#This Row],[Date of Call]]),YEAR(calls[[#This Row],[Date of Call]])+1)</f>
        <v>2024</v>
      </c>
      <c r="M600" t="str">
        <f>TEXT(calls[[#This Row],[Date of Call]],"DDDD")</f>
        <v>Wednesday</v>
      </c>
      <c r="N600" t="str" cm="1">
        <f t="array" ref="N6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00">
        <f>ROUND(calls[[#This Row],[Satisfaction Rating]],0)</f>
        <v>3</v>
      </c>
      <c r="P600" s="53">
        <f t="shared" si="9"/>
        <v>307</v>
      </c>
    </row>
    <row r="601" spans="2:16">
      <c r="B601" t="s">
        <v>681</v>
      </c>
      <c r="C601" t="s">
        <v>61</v>
      </c>
      <c r="D601" s="46" t="str" cm="1">
        <f t="array" ref="D601">_xlfn.XLOOKUP(C601,customers[Customer ID],customers[Gender],"")</f>
        <v>Female</v>
      </c>
      <c r="E601" s="46" cm="1">
        <f t="array" ref="E601">_xlfn.XLOOKUP(C601,customers[Customer ID],customers[Age],"")</f>
        <v>30</v>
      </c>
      <c r="F601" s="46" t="str" cm="1">
        <f t="array" ref="F601">_xlfn.XLOOKUP(C601,customers[Customer ID],customers[City],"")</f>
        <v>Cincinnati</v>
      </c>
      <c r="G601">
        <v>128</v>
      </c>
      <c r="H601" s="47" t="s">
        <v>39</v>
      </c>
      <c r="I601" s="48">
        <v>45112</v>
      </c>
      <c r="J601">
        <v>116</v>
      </c>
      <c r="K601">
        <v>2.3</v>
      </c>
      <c r="L601">
        <f>IF(MONTH(calls[[#This Row],[Date of Call]])&lt;=6,YEAR(calls[[#This Row],[Date of Call]]),YEAR(calls[[#This Row],[Date of Call]])+1)</f>
        <v>2024</v>
      </c>
      <c r="M601" t="str">
        <f>TEXT(calls[[#This Row],[Date of Call]],"DDDD")</f>
        <v>Wednesday</v>
      </c>
      <c r="N601" t="str" cm="1">
        <f t="array" ref="N60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01">
        <f>ROUND(calls[[#This Row],[Satisfaction Rating]],0)</f>
        <v>2</v>
      </c>
      <c r="P601" s="53">
        <f t="shared" si="9"/>
        <v>307</v>
      </c>
    </row>
    <row r="602" spans="2:16">
      <c r="B602" t="s">
        <v>682</v>
      </c>
      <c r="C602" t="s">
        <v>59</v>
      </c>
      <c r="D602" s="46" t="str" cm="1">
        <f t="array" ref="D602">_xlfn.XLOOKUP(C602,customers[Customer ID],customers[Gender],"")</f>
        <v>Male</v>
      </c>
      <c r="E602" s="46" cm="1">
        <f t="array" ref="E602">_xlfn.XLOOKUP(C602,customers[Customer ID],customers[Age],"")</f>
        <v>26</v>
      </c>
      <c r="F602" s="46" t="str" cm="1">
        <f t="array" ref="F602">_xlfn.XLOOKUP(C602,customers[Customer ID],customers[City],"")</f>
        <v>Cincinnati</v>
      </c>
      <c r="G602">
        <v>102</v>
      </c>
      <c r="H602" s="47" t="s">
        <v>40</v>
      </c>
      <c r="I602" s="48">
        <v>45113</v>
      </c>
      <c r="J602">
        <v>70</v>
      </c>
      <c r="K602">
        <v>2.8</v>
      </c>
      <c r="L602">
        <f>IF(MONTH(calls[[#This Row],[Date of Call]])&lt;=6,YEAR(calls[[#This Row],[Date of Call]]),YEAR(calls[[#This Row],[Date of Call]])+1)</f>
        <v>2024</v>
      </c>
      <c r="M602" t="str">
        <f>TEXT(calls[[#This Row],[Date of Call]],"DDDD")</f>
        <v>Thursday</v>
      </c>
      <c r="N602" t="str" cm="1">
        <f t="array" ref="N6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02">
        <f>ROUND(calls[[#This Row],[Satisfaction Rating]],0)</f>
        <v>3</v>
      </c>
      <c r="P602" s="53">
        <f t="shared" si="9"/>
        <v>307</v>
      </c>
    </row>
    <row r="603" spans="2:16">
      <c r="B603" t="s">
        <v>683</v>
      </c>
      <c r="C603" t="s">
        <v>71</v>
      </c>
      <c r="D603" s="46" t="str" cm="1">
        <f t="array" ref="D603">_xlfn.XLOOKUP(C603,customers[Customer ID],customers[Gender],"")</f>
        <v>Male</v>
      </c>
      <c r="E603" s="46" cm="1">
        <f t="array" ref="E603">_xlfn.XLOOKUP(C603,customers[Customer ID],customers[Age],"")</f>
        <v>23</v>
      </c>
      <c r="F603" s="46" t="str" cm="1">
        <f t="array" ref="F603">_xlfn.XLOOKUP(C603,customers[Customer ID],customers[City],"")</f>
        <v>Columbus</v>
      </c>
      <c r="G603">
        <v>52</v>
      </c>
      <c r="H603" s="47" t="s">
        <v>36</v>
      </c>
      <c r="I603" s="48">
        <v>45113</v>
      </c>
      <c r="J603">
        <v>42</v>
      </c>
      <c r="K603">
        <v>4.5</v>
      </c>
      <c r="L603">
        <f>IF(MONTH(calls[[#This Row],[Date of Call]])&lt;=6,YEAR(calls[[#This Row],[Date of Call]]),YEAR(calls[[#This Row],[Date of Call]])+1)</f>
        <v>2024</v>
      </c>
      <c r="M603" t="str">
        <f>TEXT(calls[[#This Row],[Date of Call]],"DDDD")</f>
        <v>Thursday</v>
      </c>
      <c r="N603" t="str" cm="1">
        <f t="array" ref="N60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03">
        <f>ROUND(calls[[#This Row],[Satisfaction Rating]],0)</f>
        <v>5</v>
      </c>
      <c r="P603" s="53">
        <f t="shared" si="9"/>
        <v>307</v>
      </c>
    </row>
    <row r="604" spans="2:16">
      <c r="B604" t="s">
        <v>684</v>
      </c>
      <c r="C604" t="s">
        <v>61</v>
      </c>
      <c r="D604" s="46" t="str" cm="1">
        <f t="array" ref="D604">_xlfn.XLOOKUP(C604,customers[Customer ID],customers[Gender],"")</f>
        <v>Female</v>
      </c>
      <c r="E604" s="46" cm="1">
        <f t="array" ref="E604">_xlfn.XLOOKUP(C604,customers[Customer ID],customers[Age],"")</f>
        <v>30</v>
      </c>
      <c r="F604" s="46" t="str" cm="1">
        <f t="array" ref="F604">_xlfn.XLOOKUP(C604,customers[Customer ID],customers[City],"")</f>
        <v>Cincinnati</v>
      </c>
      <c r="G604">
        <v>55</v>
      </c>
      <c r="H604" s="47" t="s">
        <v>37</v>
      </c>
      <c r="I604" s="48">
        <v>45114</v>
      </c>
      <c r="J604">
        <v>112</v>
      </c>
      <c r="K604">
        <v>4.5</v>
      </c>
      <c r="L604">
        <f>IF(MONTH(calls[[#This Row],[Date of Call]])&lt;=6,YEAR(calls[[#This Row],[Date of Call]]),YEAR(calls[[#This Row],[Date of Call]])+1)</f>
        <v>2024</v>
      </c>
      <c r="M604" t="str">
        <f>TEXT(calls[[#This Row],[Date of Call]],"DDDD")</f>
        <v>Friday</v>
      </c>
      <c r="N604" t="str" cm="1">
        <f t="array" ref="N60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04">
        <f>ROUND(calls[[#This Row],[Satisfaction Rating]],0)</f>
        <v>5</v>
      </c>
      <c r="P604" s="53">
        <f t="shared" si="9"/>
        <v>307</v>
      </c>
    </row>
    <row r="605" spans="2:16">
      <c r="B605" t="s">
        <v>685</v>
      </c>
      <c r="C605" t="s">
        <v>73</v>
      </c>
      <c r="D605" s="46" t="str" cm="1">
        <f t="array" ref="D605">_xlfn.XLOOKUP(C605,customers[Customer ID],customers[Gender],"")</f>
        <v>Female</v>
      </c>
      <c r="E605" s="46" cm="1">
        <f t="array" ref="E605">_xlfn.XLOOKUP(C605,customers[Customer ID],customers[Age],"")</f>
        <v>38</v>
      </c>
      <c r="F605" s="46" t="str" cm="1">
        <f t="array" ref="F605">_xlfn.XLOOKUP(C605,customers[Customer ID],customers[City],"")</f>
        <v>Columbus</v>
      </c>
      <c r="G605">
        <v>107</v>
      </c>
      <c r="H605" s="47" t="s">
        <v>39</v>
      </c>
      <c r="I605" s="48">
        <v>45114</v>
      </c>
      <c r="J605">
        <v>20</v>
      </c>
      <c r="K605">
        <v>4.5</v>
      </c>
      <c r="L605">
        <f>IF(MONTH(calls[[#This Row],[Date of Call]])&lt;=6,YEAR(calls[[#This Row],[Date of Call]]),YEAR(calls[[#This Row],[Date of Call]])+1)</f>
        <v>2024</v>
      </c>
      <c r="M605" t="str">
        <f>TEXT(calls[[#This Row],[Date of Call]],"DDDD")</f>
        <v>Friday</v>
      </c>
      <c r="N605" t="str" cm="1">
        <f t="array" ref="N60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05">
        <f>ROUND(calls[[#This Row],[Satisfaction Rating]],0)</f>
        <v>5</v>
      </c>
      <c r="P605" s="53">
        <f t="shared" si="9"/>
        <v>307</v>
      </c>
    </row>
    <row r="606" spans="2:16">
      <c r="B606" t="s">
        <v>686</v>
      </c>
      <c r="C606" t="s">
        <v>63</v>
      </c>
      <c r="D606" s="46" t="str" cm="1">
        <f t="array" ref="D606">_xlfn.XLOOKUP(C606,customers[Customer ID],customers[Gender],"")</f>
        <v>Male</v>
      </c>
      <c r="E606" s="46" cm="1">
        <f t="array" ref="E606">_xlfn.XLOOKUP(C606,customers[Customer ID],customers[Age],"")</f>
        <v>31</v>
      </c>
      <c r="F606" s="46" t="str" cm="1">
        <f t="array" ref="F606">_xlfn.XLOOKUP(C606,customers[Customer ID],customers[City],"")</f>
        <v>Cleveland</v>
      </c>
      <c r="G606">
        <v>88</v>
      </c>
      <c r="H606" s="47" t="s">
        <v>36</v>
      </c>
      <c r="I606" s="48">
        <v>45115</v>
      </c>
      <c r="J606">
        <v>110</v>
      </c>
      <c r="K606">
        <v>4.8</v>
      </c>
      <c r="L606">
        <f>IF(MONTH(calls[[#This Row],[Date of Call]])&lt;=6,YEAR(calls[[#This Row],[Date of Call]]),YEAR(calls[[#This Row],[Date of Call]])+1)</f>
        <v>2024</v>
      </c>
      <c r="M606" t="str">
        <f>TEXT(calls[[#This Row],[Date of Call]],"DDDD")</f>
        <v>Saturday</v>
      </c>
      <c r="N606" t="str" cm="1">
        <f t="array" ref="N60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06">
        <f>ROUND(calls[[#This Row],[Satisfaction Rating]],0)</f>
        <v>5</v>
      </c>
      <c r="P606" s="53">
        <f t="shared" si="9"/>
        <v>307</v>
      </c>
    </row>
    <row r="607" spans="2:16">
      <c r="B607" t="s">
        <v>687</v>
      </c>
      <c r="C607" t="s">
        <v>64</v>
      </c>
      <c r="D607" s="46" t="str" cm="1">
        <f t="array" ref="D607">_xlfn.XLOOKUP(C607,customers[Customer ID],customers[Gender],"")</f>
        <v>Female</v>
      </c>
      <c r="E607" s="46" cm="1">
        <f t="array" ref="E607">_xlfn.XLOOKUP(C607,customers[Customer ID],customers[Age],"")</f>
        <v>22</v>
      </c>
      <c r="F607" s="46" t="str" cm="1">
        <f t="array" ref="F607">_xlfn.XLOOKUP(C607,customers[Customer ID],customers[City],"")</f>
        <v>Cleveland</v>
      </c>
      <c r="G607">
        <v>49</v>
      </c>
      <c r="H607" s="47" t="s">
        <v>36</v>
      </c>
      <c r="I607" s="48">
        <v>45115</v>
      </c>
      <c r="J607">
        <v>39</v>
      </c>
      <c r="K607">
        <v>4.6</v>
      </c>
      <c r="L607">
        <f>IF(MONTH(calls[[#This Row],[Date of Call]])&lt;=6,YEAR(calls[[#This Row],[Date of Call]]),YEAR(calls[[#This Row],[Date of Call]])+1)</f>
        <v>2024</v>
      </c>
      <c r="M607" t="str">
        <f>TEXT(calls[[#This Row],[Date of Call]],"DDDD")</f>
        <v>Saturday</v>
      </c>
      <c r="N607" t="str" cm="1">
        <f t="array" ref="N60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07">
        <f>ROUND(calls[[#This Row],[Satisfaction Rating]],0)</f>
        <v>5</v>
      </c>
      <c r="P607" s="53">
        <f t="shared" si="9"/>
        <v>307</v>
      </c>
    </row>
    <row r="608" spans="2:16">
      <c r="B608" t="s">
        <v>688</v>
      </c>
      <c r="C608" t="s">
        <v>63</v>
      </c>
      <c r="D608" s="46" t="str" cm="1">
        <f t="array" ref="D608">_xlfn.XLOOKUP(C608,customers[Customer ID],customers[Gender],"")</f>
        <v>Male</v>
      </c>
      <c r="E608" s="46" cm="1">
        <f t="array" ref="E608">_xlfn.XLOOKUP(C608,customers[Customer ID],customers[Age],"")</f>
        <v>31</v>
      </c>
      <c r="F608" s="46" t="str" cm="1">
        <f t="array" ref="F608">_xlfn.XLOOKUP(C608,customers[Customer ID],customers[City],"")</f>
        <v>Cleveland</v>
      </c>
      <c r="G608">
        <v>72</v>
      </c>
      <c r="H608" s="47" t="s">
        <v>40</v>
      </c>
      <c r="I608" s="48">
        <v>45115</v>
      </c>
      <c r="J608">
        <v>76</v>
      </c>
      <c r="K608">
        <v>4.5</v>
      </c>
      <c r="L608">
        <f>IF(MONTH(calls[[#This Row],[Date of Call]])&lt;=6,YEAR(calls[[#This Row],[Date of Call]]),YEAR(calls[[#This Row],[Date of Call]])+1)</f>
        <v>2024</v>
      </c>
      <c r="M608" t="str">
        <f>TEXT(calls[[#This Row],[Date of Call]],"DDDD")</f>
        <v>Saturday</v>
      </c>
      <c r="N608" t="str" cm="1">
        <f t="array" ref="N60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08">
        <f>ROUND(calls[[#This Row],[Satisfaction Rating]],0)</f>
        <v>5</v>
      </c>
      <c r="P608" s="53">
        <f t="shared" si="9"/>
        <v>307</v>
      </c>
    </row>
    <row r="609" spans="2:16">
      <c r="B609" t="s">
        <v>689</v>
      </c>
      <c r="C609" t="s">
        <v>60</v>
      </c>
      <c r="D609" s="46" t="str" cm="1">
        <f t="array" ref="D609">_xlfn.XLOOKUP(C609,customers[Customer ID],customers[Gender],"")</f>
        <v>Male</v>
      </c>
      <c r="E609" s="46" cm="1">
        <f t="array" ref="E609">_xlfn.XLOOKUP(C609,customers[Customer ID],customers[Age],"")</f>
        <v>36</v>
      </c>
      <c r="F609" s="46" t="str" cm="1">
        <f t="array" ref="F609">_xlfn.XLOOKUP(C609,customers[Customer ID],customers[City],"")</f>
        <v>Cincinnati</v>
      </c>
      <c r="G609">
        <v>50</v>
      </c>
      <c r="H609" s="47" t="s">
        <v>40</v>
      </c>
      <c r="I609" s="48">
        <v>45115</v>
      </c>
      <c r="J609">
        <v>40</v>
      </c>
      <c r="K609">
        <v>5</v>
      </c>
      <c r="L609">
        <f>IF(MONTH(calls[[#This Row],[Date of Call]])&lt;=6,YEAR(calls[[#This Row],[Date of Call]]),YEAR(calls[[#This Row],[Date of Call]])+1)</f>
        <v>2024</v>
      </c>
      <c r="M609" t="str">
        <f>TEXT(calls[[#This Row],[Date of Call]],"DDDD")</f>
        <v>Saturday</v>
      </c>
      <c r="N609" t="str" cm="1">
        <f t="array" ref="N60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09">
        <f>ROUND(calls[[#This Row],[Satisfaction Rating]],0)</f>
        <v>5</v>
      </c>
      <c r="P609" s="53">
        <f t="shared" si="9"/>
        <v>307</v>
      </c>
    </row>
    <row r="610" spans="2:16">
      <c r="B610" t="s">
        <v>690</v>
      </c>
      <c r="C610" t="s">
        <v>63</v>
      </c>
      <c r="D610" s="46" t="str" cm="1">
        <f t="array" ref="D610">_xlfn.XLOOKUP(C610,customers[Customer ID],customers[Gender],"")</f>
        <v>Male</v>
      </c>
      <c r="E610" s="46" cm="1">
        <f t="array" ref="E610">_xlfn.XLOOKUP(C610,customers[Customer ID],customers[Age],"")</f>
        <v>31</v>
      </c>
      <c r="F610" s="46" t="str" cm="1">
        <f t="array" ref="F610">_xlfn.XLOOKUP(C610,customers[Customer ID],customers[City],"")</f>
        <v>Cleveland</v>
      </c>
      <c r="G610">
        <v>52</v>
      </c>
      <c r="H610" s="47" t="s">
        <v>39</v>
      </c>
      <c r="I610" s="48">
        <v>45115</v>
      </c>
      <c r="J610">
        <v>42</v>
      </c>
      <c r="K610">
        <v>4.8</v>
      </c>
      <c r="L610">
        <f>IF(MONTH(calls[[#This Row],[Date of Call]])&lt;=6,YEAR(calls[[#This Row],[Date of Call]]),YEAR(calls[[#This Row],[Date of Call]])+1)</f>
        <v>2024</v>
      </c>
      <c r="M610" t="str">
        <f>TEXT(calls[[#This Row],[Date of Call]],"DDDD")</f>
        <v>Saturday</v>
      </c>
      <c r="N610" t="str" cm="1">
        <f t="array" ref="N61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10">
        <f>ROUND(calls[[#This Row],[Satisfaction Rating]],0)</f>
        <v>5</v>
      </c>
      <c r="P610" s="53">
        <f t="shared" si="9"/>
        <v>307</v>
      </c>
    </row>
    <row r="611" spans="2:16">
      <c r="B611" t="s">
        <v>691</v>
      </c>
      <c r="C611" t="s">
        <v>70</v>
      </c>
      <c r="D611" s="46" t="str" cm="1">
        <f t="array" ref="D611">_xlfn.XLOOKUP(C611,customers[Customer ID],customers[Gender],"")</f>
        <v>Male</v>
      </c>
      <c r="E611" s="46" cm="1">
        <f t="array" ref="E611">_xlfn.XLOOKUP(C611,customers[Customer ID],customers[Age],"")</f>
        <v>37</v>
      </c>
      <c r="F611" s="46" t="str" cm="1">
        <f t="array" ref="F611">_xlfn.XLOOKUP(C611,customers[Customer ID],customers[City],"")</f>
        <v>Columbus</v>
      </c>
      <c r="G611">
        <v>85</v>
      </c>
      <c r="H611" s="47" t="s">
        <v>38</v>
      </c>
      <c r="I611" s="48">
        <v>45116</v>
      </c>
      <c r="J611">
        <v>215</v>
      </c>
      <c r="K611">
        <v>3.5</v>
      </c>
      <c r="L611">
        <f>IF(MONTH(calls[[#This Row],[Date of Call]])&lt;=6,YEAR(calls[[#This Row],[Date of Call]]),YEAR(calls[[#This Row],[Date of Call]])+1)</f>
        <v>2024</v>
      </c>
      <c r="M611" t="str">
        <f>TEXT(calls[[#This Row],[Date of Call]],"DDDD")</f>
        <v>Sunday</v>
      </c>
      <c r="N611" t="str" cm="1">
        <f t="array" ref="N61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11">
        <f>ROUND(calls[[#This Row],[Satisfaction Rating]],0)</f>
        <v>4</v>
      </c>
      <c r="P611" s="53">
        <f t="shared" si="9"/>
        <v>307</v>
      </c>
    </row>
    <row r="612" spans="2:16">
      <c r="B612" t="s">
        <v>692</v>
      </c>
      <c r="C612" t="s">
        <v>72</v>
      </c>
      <c r="D612" s="46" t="str" cm="1">
        <f t="array" ref="D612">_xlfn.XLOOKUP(C612,customers[Customer ID],customers[Gender],"")</f>
        <v>Female</v>
      </c>
      <c r="E612" s="46" cm="1">
        <f t="array" ref="E612">_xlfn.XLOOKUP(C612,customers[Customer ID],customers[Age],"")</f>
        <v>25</v>
      </c>
      <c r="F612" s="46" t="str" cm="1">
        <f t="array" ref="F612">_xlfn.XLOOKUP(C612,customers[Customer ID],customers[City],"")</f>
        <v>Columbus</v>
      </c>
      <c r="G612">
        <v>98</v>
      </c>
      <c r="H612" s="47" t="s">
        <v>38</v>
      </c>
      <c r="I612" s="48">
        <v>45117</v>
      </c>
      <c r="J612">
        <v>130</v>
      </c>
      <c r="K612">
        <v>3.4</v>
      </c>
      <c r="L612">
        <f>IF(MONTH(calls[[#This Row],[Date of Call]])&lt;=6,YEAR(calls[[#This Row],[Date of Call]]),YEAR(calls[[#This Row],[Date of Call]])+1)</f>
        <v>2024</v>
      </c>
      <c r="M612" t="str">
        <f>TEXT(calls[[#This Row],[Date of Call]],"DDDD")</f>
        <v>Monday</v>
      </c>
      <c r="N612" t="str" cm="1">
        <f t="array" ref="N61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12">
        <f>ROUND(calls[[#This Row],[Satisfaction Rating]],0)</f>
        <v>3</v>
      </c>
      <c r="P612" s="53">
        <f t="shared" si="9"/>
        <v>307</v>
      </c>
    </row>
    <row r="613" spans="2:16">
      <c r="B613" t="s">
        <v>693</v>
      </c>
      <c r="C613" t="s">
        <v>68</v>
      </c>
      <c r="D613" s="46" t="str" cm="1">
        <f t="array" ref="D613">_xlfn.XLOOKUP(C613,customers[Customer ID],customers[Gender],"")</f>
        <v>Female</v>
      </c>
      <c r="E613" s="46" cm="1">
        <f t="array" ref="E613">_xlfn.XLOOKUP(C613,customers[Customer ID],customers[Age],"")</f>
        <v>43</v>
      </c>
      <c r="F613" s="46" t="str" cm="1">
        <f t="array" ref="F613">_xlfn.XLOOKUP(C613,customers[Customer ID],customers[City],"")</f>
        <v>Cleveland</v>
      </c>
      <c r="G613">
        <v>52</v>
      </c>
      <c r="H613" s="47" t="s">
        <v>38</v>
      </c>
      <c r="I613" s="48">
        <v>45117</v>
      </c>
      <c r="J613">
        <v>190</v>
      </c>
      <c r="K613">
        <v>3.3</v>
      </c>
      <c r="L613">
        <f>IF(MONTH(calls[[#This Row],[Date of Call]])&lt;=6,YEAR(calls[[#This Row],[Date of Call]]),YEAR(calls[[#This Row],[Date of Call]])+1)</f>
        <v>2024</v>
      </c>
      <c r="M613" t="str">
        <f>TEXT(calls[[#This Row],[Date of Call]],"DDDD")</f>
        <v>Monday</v>
      </c>
      <c r="N613" t="str" cm="1">
        <f t="array" ref="N61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13">
        <f>ROUND(calls[[#This Row],[Satisfaction Rating]],0)</f>
        <v>3</v>
      </c>
      <c r="P613" s="53">
        <f t="shared" si="9"/>
        <v>307</v>
      </c>
    </row>
    <row r="614" spans="2:16">
      <c r="B614" t="s">
        <v>694</v>
      </c>
      <c r="C614" t="s">
        <v>61</v>
      </c>
      <c r="D614" s="46" t="str" cm="1">
        <f t="array" ref="D614">_xlfn.XLOOKUP(C614,customers[Customer ID],customers[Gender],"")</f>
        <v>Female</v>
      </c>
      <c r="E614" s="46" cm="1">
        <f t="array" ref="E614">_xlfn.XLOOKUP(C614,customers[Customer ID],customers[Age],"")</f>
        <v>30</v>
      </c>
      <c r="F614" s="46" t="str" cm="1">
        <f t="array" ref="F614">_xlfn.XLOOKUP(C614,customers[Customer ID],customers[City],"")</f>
        <v>Cincinnati</v>
      </c>
      <c r="G614">
        <v>154</v>
      </c>
      <c r="H614" s="47" t="s">
        <v>36</v>
      </c>
      <c r="I614" s="48">
        <v>45117</v>
      </c>
      <c r="J614">
        <v>164</v>
      </c>
      <c r="K614">
        <v>4.9</v>
      </c>
      <c r="L614">
        <f>IF(MONTH(calls[[#This Row],[Date of Call]])&lt;=6,YEAR(calls[[#This Row],[Date of Call]]),YEAR(calls[[#This Row],[Date of Call]])+1)</f>
        <v>2024</v>
      </c>
      <c r="M614" t="str">
        <f>TEXT(calls[[#This Row],[Date of Call]],"DDDD")</f>
        <v>Monday</v>
      </c>
      <c r="N614" t="str" cm="1">
        <f t="array" ref="N61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14">
        <f>ROUND(calls[[#This Row],[Satisfaction Rating]],0)</f>
        <v>5</v>
      </c>
      <c r="P614" s="53">
        <f t="shared" si="9"/>
        <v>307</v>
      </c>
    </row>
    <row r="615" spans="2:16">
      <c r="B615" t="s">
        <v>695</v>
      </c>
      <c r="C615" t="s">
        <v>65</v>
      </c>
      <c r="D615" s="46" t="str" cm="1">
        <f t="array" ref="D615">_xlfn.XLOOKUP(C615,customers[Customer ID],customers[Gender],"")</f>
        <v>Female</v>
      </c>
      <c r="E615" s="46" cm="1">
        <f t="array" ref="E615">_xlfn.XLOOKUP(C615,customers[Customer ID],customers[Age],"")</f>
        <v>42</v>
      </c>
      <c r="F615" s="46" t="str" cm="1">
        <f t="array" ref="F615">_xlfn.XLOOKUP(C615,customers[Customer ID],customers[City],"")</f>
        <v>Cleveland</v>
      </c>
      <c r="G615">
        <v>131</v>
      </c>
      <c r="H615" s="47" t="s">
        <v>37</v>
      </c>
      <c r="I615" s="48">
        <v>45118</v>
      </c>
      <c r="J615">
        <v>76</v>
      </c>
      <c r="K615">
        <v>4.5</v>
      </c>
      <c r="L615">
        <f>IF(MONTH(calls[[#This Row],[Date of Call]])&lt;=6,YEAR(calls[[#This Row],[Date of Call]]),YEAR(calls[[#This Row],[Date of Call]])+1)</f>
        <v>2024</v>
      </c>
      <c r="M615" t="str">
        <f>TEXT(calls[[#This Row],[Date of Call]],"DDDD")</f>
        <v>Tuesday</v>
      </c>
      <c r="N615" t="str" cm="1">
        <f t="array" ref="N61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15">
        <f>ROUND(calls[[#This Row],[Satisfaction Rating]],0)</f>
        <v>5</v>
      </c>
      <c r="P615" s="53">
        <f t="shared" si="9"/>
        <v>307</v>
      </c>
    </row>
    <row r="616" spans="2:16">
      <c r="B616" t="s">
        <v>696</v>
      </c>
      <c r="C616" t="s">
        <v>70</v>
      </c>
      <c r="D616" s="46" t="str" cm="1">
        <f t="array" ref="D616">_xlfn.XLOOKUP(C616,customers[Customer ID],customers[Gender],"")</f>
        <v>Male</v>
      </c>
      <c r="E616" s="46" cm="1">
        <f t="array" ref="E616">_xlfn.XLOOKUP(C616,customers[Customer ID],customers[Age],"")</f>
        <v>37</v>
      </c>
      <c r="F616" s="46" t="str" cm="1">
        <f t="array" ref="F616">_xlfn.XLOOKUP(C616,customers[Customer ID],customers[City],"")</f>
        <v>Columbus</v>
      </c>
      <c r="G616">
        <v>73</v>
      </c>
      <c r="H616" s="47" t="s">
        <v>37</v>
      </c>
      <c r="I616" s="48">
        <v>45119</v>
      </c>
      <c r="J616">
        <v>87</v>
      </c>
      <c r="K616">
        <v>4.8</v>
      </c>
      <c r="L616">
        <f>IF(MONTH(calls[[#This Row],[Date of Call]])&lt;=6,YEAR(calls[[#This Row],[Date of Call]]),YEAR(calls[[#This Row],[Date of Call]])+1)</f>
        <v>2024</v>
      </c>
      <c r="M616" t="str">
        <f>TEXT(calls[[#This Row],[Date of Call]],"DDDD")</f>
        <v>Wednesday</v>
      </c>
      <c r="N616" t="str" cm="1">
        <f t="array" ref="N61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16">
        <f>ROUND(calls[[#This Row],[Satisfaction Rating]],0)</f>
        <v>5</v>
      </c>
      <c r="P616" s="53">
        <f t="shared" si="9"/>
        <v>307</v>
      </c>
    </row>
    <row r="617" spans="2:16">
      <c r="B617" t="s">
        <v>697</v>
      </c>
      <c r="C617" t="s">
        <v>67</v>
      </c>
      <c r="D617" s="46" t="str" cm="1">
        <f t="array" ref="D617">_xlfn.XLOOKUP(C617,customers[Customer ID],customers[Gender],"")</f>
        <v>Female</v>
      </c>
      <c r="E617" s="46" cm="1">
        <f t="array" ref="E617">_xlfn.XLOOKUP(C617,customers[Customer ID],customers[Age],"")</f>
        <v>37</v>
      </c>
      <c r="F617" s="46" t="str" cm="1">
        <f t="array" ref="F617">_xlfn.XLOOKUP(C617,customers[Customer ID],customers[City],"")</f>
        <v>Cleveland</v>
      </c>
      <c r="G617">
        <v>45</v>
      </c>
      <c r="H617" s="47" t="s">
        <v>38</v>
      </c>
      <c r="I617" s="48">
        <v>45119</v>
      </c>
      <c r="J617">
        <v>84</v>
      </c>
      <c r="K617">
        <v>4.8</v>
      </c>
      <c r="L617">
        <f>IF(MONTH(calls[[#This Row],[Date of Call]])&lt;=6,YEAR(calls[[#This Row],[Date of Call]]),YEAR(calls[[#This Row],[Date of Call]])+1)</f>
        <v>2024</v>
      </c>
      <c r="M617" t="str">
        <f>TEXT(calls[[#This Row],[Date of Call]],"DDDD")</f>
        <v>Wednesday</v>
      </c>
      <c r="N617" t="str" cm="1">
        <f t="array" ref="N61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17">
        <f>ROUND(calls[[#This Row],[Satisfaction Rating]],0)</f>
        <v>5</v>
      </c>
      <c r="P617" s="53">
        <f t="shared" si="9"/>
        <v>307</v>
      </c>
    </row>
    <row r="618" spans="2:16">
      <c r="B618" t="s">
        <v>698</v>
      </c>
      <c r="C618" t="s">
        <v>71</v>
      </c>
      <c r="D618" s="46" t="str" cm="1">
        <f t="array" ref="D618">_xlfn.XLOOKUP(C618,customers[Customer ID],customers[Gender],"")</f>
        <v>Male</v>
      </c>
      <c r="E618" s="46" cm="1">
        <f t="array" ref="E618">_xlfn.XLOOKUP(C618,customers[Customer ID],customers[Age],"")</f>
        <v>23</v>
      </c>
      <c r="F618" s="46" t="str" cm="1">
        <f t="array" ref="F618">_xlfn.XLOOKUP(C618,customers[Customer ID],customers[City],"")</f>
        <v>Columbus</v>
      </c>
      <c r="G618">
        <v>114</v>
      </c>
      <c r="H618" s="47" t="s">
        <v>39</v>
      </c>
      <c r="I618" s="48">
        <v>45119</v>
      </c>
      <c r="J618">
        <v>114</v>
      </c>
      <c r="K618">
        <v>3.9</v>
      </c>
      <c r="L618">
        <f>IF(MONTH(calls[[#This Row],[Date of Call]])&lt;=6,YEAR(calls[[#This Row],[Date of Call]]),YEAR(calls[[#This Row],[Date of Call]])+1)</f>
        <v>2024</v>
      </c>
      <c r="M618" t="str">
        <f>TEXT(calls[[#This Row],[Date of Call]],"DDDD")</f>
        <v>Wednesday</v>
      </c>
      <c r="N618" t="str" cm="1">
        <f t="array" ref="N61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18">
        <f>ROUND(calls[[#This Row],[Satisfaction Rating]],0)</f>
        <v>4</v>
      </c>
      <c r="P618" s="53">
        <f t="shared" si="9"/>
        <v>307</v>
      </c>
    </row>
    <row r="619" spans="2:16">
      <c r="B619" t="s">
        <v>699</v>
      </c>
      <c r="C619" t="s">
        <v>72</v>
      </c>
      <c r="D619" s="46" t="str" cm="1">
        <f t="array" ref="D619">_xlfn.XLOOKUP(C619,customers[Customer ID],customers[Gender],"")</f>
        <v>Female</v>
      </c>
      <c r="E619" s="46" cm="1">
        <f t="array" ref="E619">_xlfn.XLOOKUP(C619,customers[Customer ID],customers[Age],"")</f>
        <v>25</v>
      </c>
      <c r="F619" s="46" t="str" cm="1">
        <f t="array" ref="F619">_xlfn.XLOOKUP(C619,customers[Customer ID],customers[City],"")</f>
        <v>Columbus</v>
      </c>
      <c r="G619">
        <v>69</v>
      </c>
      <c r="H619" s="47" t="s">
        <v>37</v>
      </c>
      <c r="I619" s="48">
        <v>45120</v>
      </c>
      <c r="J619">
        <v>56</v>
      </c>
      <c r="K619">
        <v>3.9</v>
      </c>
      <c r="L619">
        <f>IF(MONTH(calls[[#This Row],[Date of Call]])&lt;=6,YEAR(calls[[#This Row],[Date of Call]]),YEAR(calls[[#This Row],[Date of Call]])+1)</f>
        <v>2024</v>
      </c>
      <c r="M619" t="str">
        <f>TEXT(calls[[#This Row],[Date of Call]],"DDDD")</f>
        <v>Thursday</v>
      </c>
      <c r="N619" t="str" cm="1">
        <f t="array" ref="N6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19">
        <f>ROUND(calls[[#This Row],[Satisfaction Rating]],0)</f>
        <v>4</v>
      </c>
      <c r="P619" s="53">
        <f t="shared" si="9"/>
        <v>307</v>
      </c>
    </row>
    <row r="620" spans="2:16">
      <c r="B620" t="s">
        <v>700</v>
      </c>
      <c r="C620" t="s">
        <v>65</v>
      </c>
      <c r="D620" s="46" t="str" cm="1">
        <f t="array" ref="D620">_xlfn.XLOOKUP(C620,customers[Customer ID],customers[Gender],"")</f>
        <v>Female</v>
      </c>
      <c r="E620" s="46" cm="1">
        <f t="array" ref="E620">_xlfn.XLOOKUP(C620,customers[Customer ID],customers[Age],"")</f>
        <v>42</v>
      </c>
      <c r="F620" s="46" t="str" cm="1">
        <f t="array" ref="F620">_xlfn.XLOOKUP(C620,customers[Customer ID],customers[City],"")</f>
        <v>Cleveland</v>
      </c>
      <c r="G620">
        <v>33</v>
      </c>
      <c r="H620" s="47" t="s">
        <v>36</v>
      </c>
      <c r="I620" s="48">
        <v>45120</v>
      </c>
      <c r="J620">
        <v>27</v>
      </c>
      <c r="K620">
        <v>3.7</v>
      </c>
      <c r="L620">
        <f>IF(MONTH(calls[[#This Row],[Date of Call]])&lt;=6,YEAR(calls[[#This Row],[Date of Call]]),YEAR(calls[[#This Row],[Date of Call]])+1)</f>
        <v>2024</v>
      </c>
      <c r="M620" t="str">
        <f>TEXT(calls[[#This Row],[Date of Call]],"DDDD")</f>
        <v>Thursday</v>
      </c>
      <c r="N620" t="str" cm="1">
        <f t="array" ref="N62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20">
        <f>ROUND(calls[[#This Row],[Satisfaction Rating]],0)</f>
        <v>4</v>
      </c>
      <c r="P620" s="53">
        <f t="shared" si="9"/>
        <v>307</v>
      </c>
    </row>
    <row r="621" spans="2:16">
      <c r="B621" t="s">
        <v>701</v>
      </c>
      <c r="C621" t="s">
        <v>60</v>
      </c>
      <c r="D621" s="46" t="str" cm="1">
        <f t="array" ref="D621">_xlfn.XLOOKUP(C621,customers[Customer ID],customers[Gender],"")</f>
        <v>Male</v>
      </c>
      <c r="E621" s="46" cm="1">
        <f t="array" ref="E621">_xlfn.XLOOKUP(C621,customers[Customer ID],customers[Age],"")</f>
        <v>36</v>
      </c>
      <c r="F621" s="46" t="str" cm="1">
        <f t="array" ref="F621">_xlfn.XLOOKUP(C621,customers[Customer ID],customers[City],"")</f>
        <v>Cincinnati</v>
      </c>
      <c r="G621">
        <v>31</v>
      </c>
      <c r="H621" s="47" t="s">
        <v>40</v>
      </c>
      <c r="I621" s="48">
        <v>45121</v>
      </c>
      <c r="J621">
        <v>84</v>
      </c>
      <c r="K621">
        <v>4.8</v>
      </c>
      <c r="L621">
        <f>IF(MONTH(calls[[#This Row],[Date of Call]])&lt;=6,YEAR(calls[[#This Row],[Date of Call]]),YEAR(calls[[#This Row],[Date of Call]])+1)</f>
        <v>2024</v>
      </c>
      <c r="M621" t="str">
        <f>TEXT(calls[[#This Row],[Date of Call]],"DDDD")</f>
        <v>Friday</v>
      </c>
      <c r="N621" t="str" cm="1">
        <f t="array" ref="N62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21">
        <f>ROUND(calls[[#This Row],[Satisfaction Rating]],0)</f>
        <v>5</v>
      </c>
      <c r="P621" s="53">
        <f t="shared" si="9"/>
        <v>307</v>
      </c>
    </row>
    <row r="622" spans="2:16">
      <c r="B622" t="s">
        <v>702</v>
      </c>
      <c r="C622" t="s">
        <v>67</v>
      </c>
      <c r="D622" s="46" t="str" cm="1">
        <f t="array" ref="D622">_xlfn.XLOOKUP(C622,customers[Customer ID],customers[Gender],"")</f>
        <v>Female</v>
      </c>
      <c r="E622" s="46" cm="1">
        <f t="array" ref="E622">_xlfn.XLOOKUP(C622,customers[Customer ID],customers[Age],"")</f>
        <v>37</v>
      </c>
      <c r="F622" s="46" t="str" cm="1">
        <f t="array" ref="F622">_xlfn.XLOOKUP(C622,customers[Customer ID],customers[City],"")</f>
        <v>Cleveland</v>
      </c>
      <c r="G622">
        <v>168</v>
      </c>
      <c r="H622" s="47" t="s">
        <v>36</v>
      </c>
      <c r="I622" s="48">
        <v>45121</v>
      </c>
      <c r="J622">
        <v>72</v>
      </c>
      <c r="K622">
        <v>3.5</v>
      </c>
      <c r="L622">
        <f>IF(MONTH(calls[[#This Row],[Date of Call]])&lt;=6,YEAR(calls[[#This Row],[Date of Call]]),YEAR(calls[[#This Row],[Date of Call]])+1)</f>
        <v>2024</v>
      </c>
      <c r="M622" t="str">
        <f>TEXT(calls[[#This Row],[Date of Call]],"DDDD")</f>
        <v>Friday</v>
      </c>
      <c r="N622" t="str" cm="1">
        <f t="array" ref="N62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22">
        <f>ROUND(calls[[#This Row],[Satisfaction Rating]],0)</f>
        <v>4</v>
      </c>
      <c r="P622" s="53">
        <f t="shared" si="9"/>
        <v>307</v>
      </c>
    </row>
    <row r="623" spans="2:16">
      <c r="B623" t="s">
        <v>703</v>
      </c>
      <c r="C623" t="s">
        <v>70</v>
      </c>
      <c r="D623" s="46" t="str" cm="1">
        <f t="array" ref="D623">_xlfn.XLOOKUP(C623,customers[Customer ID],customers[Gender],"")</f>
        <v>Male</v>
      </c>
      <c r="E623" s="46" cm="1">
        <f t="array" ref="E623">_xlfn.XLOOKUP(C623,customers[Customer ID],customers[Age],"")</f>
        <v>37</v>
      </c>
      <c r="F623" s="46" t="str" cm="1">
        <f t="array" ref="F623">_xlfn.XLOOKUP(C623,customers[Customer ID],customers[City],"")</f>
        <v>Columbus</v>
      </c>
      <c r="G623">
        <v>111</v>
      </c>
      <c r="H623" s="47" t="s">
        <v>39</v>
      </c>
      <c r="I623" s="48">
        <v>45122</v>
      </c>
      <c r="J623">
        <v>126</v>
      </c>
      <c r="K623">
        <v>4.2</v>
      </c>
      <c r="L623">
        <f>IF(MONTH(calls[[#This Row],[Date of Call]])&lt;=6,YEAR(calls[[#This Row],[Date of Call]]),YEAR(calls[[#This Row],[Date of Call]])+1)</f>
        <v>2024</v>
      </c>
      <c r="M623" t="str">
        <f>TEXT(calls[[#This Row],[Date of Call]],"DDDD")</f>
        <v>Saturday</v>
      </c>
      <c r="N623" t="str" cm="1">
        <f t="array" ref="N6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23">
        <f>ROUND(calls[[#This Row],[Satisfaction Rating]],0)</f>
        <v>4</v>
      </c>
      <c r="P623" s="53">
        <f t="shared" si="9"/>
        <v>307</v>
      </c>
    </row>
    <row r="624" spans="2:16">
      <c r="B624" t="s">
        <v>704</v>
      </c>
      <c r="C624" t="s">
        <v>60</v>
      </c>
      <c r="D624" s="46" t="str" cm="1">
        <f t="array" ref="D624">_xlfn.XLOOKUP(C624,customers[Customer ID],customers[Gender],"")</f>
        <v>Male</v>
      </c>
      <c r="E624" s="46" cm="1">
        <f t="array" ref="E624">_xlfn.XLOOKUP(C624,customers[Customer ID],customers[Age],"")</f>
        <v>36</v>
      </c>
      <c r="F624" s="46" t="str" cm="1">
        <f t="array" ref="F624">_xlfn.XLOOKUP(C624,customers[Customer ID],customers[City],"")</f>
        <v>Cincinnati</v>
      </c>
      <c r="G624">
        <v>80</v>
      </c>
      <c r="H624" s="47" t="s">
        <v>36</v>
      </c>
      <c r="I624" s="48">
        <v>45123</v>
      </c>
      <c r="J624">
        <v>88</v>
      </c>
      <c r="K624">
        <v>4.9</v>
      </c>
      <c r="L624">
        <f>IF(MONTH(calls[[#This Row],[Date of Call]])&lt;=6,YEAR(calls[[#This Row],[Date of Call]]),YEAR(calls[[#This Row],[Date of Call]])+1)</f>
        <v>2024</v>
      </c>
      <c r="M624" t="str">
        <f>TEXT(calls[[#This Row],[Date of Call]],"DDDD")</f>
        <v>Sunday</v>
      </c>
      <c r="N624" t="str" cm="1">
        <f t="array" ref="N62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24">
        <f>ROUND(calls[[#This Row],[Satisfaction Rating]],0)</f>
        <v>5</v>
      </c>
      <c r="P624" s="53">
        <f t="shared" si="9"/>
        <v>307</v>
      </c>
    </row>
    <row r="625" spans="2:16">
      <c r="B625" t="s">
        <v>705</v>
      </c>
      <c r="C625" t="s">
        <v>59</v>
      </c>
      <c r="D625" s="46" t="str" cm="1">
        <f t="array" ref="D625">_xlfn.XLOOKUP(C625,customers[Customer ID],customers[Gender],"")</f>
        <v>Male</v>
      </c>
      <c r="E625" s="46" cm="1">
        <f t="array" ref="E625">_xlfn.XLOOKUP(C625,customers[Customer ID],customers[Age],"")</f>
        <v>26</v>
      </c>
      <c r="F625" s="46" t="str" cm="1">
        <f t="array" ref="F625">_xlfn.XLOOKUP(C625,customers[Customer ID],customers[City],"")</f>
        <v>Cincinnati</v>
      </c>
      <c r="G625">
        <v>37</v>
      </c>
      <c r="H625" s="47" t="s">
        <v>36</v>
      </c>
      <c r="I625" s="48">
        <v>45123</v>
      </c>
      <c r="J625">
        <v>124</v>
      </c>
      <c r="K625">
        <v>4.6</v>
      </c>
      <c r="L625">
        <f>IF(MONTH(calls[[#This Row],[Date of Call]])&lt;=6,YEAR(calls[[#This Row],[Date of Call]]),YEAR(calls[[#This Row],[Date of Call]])+1)</f>
        <v>2024</v>
      </c>
      <c r="M625" t="str">
        <f>TEXT(calls[[#This Row],[Date of Call]],"DDDD")</f>
        <v>Sunday</v>
      </c>
      <c r="N625" t="str" cm="1">
        <f t="array" ref="N62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25">
        <f>ROUND(calls[[#This Row],[Satisfaction Rating]],0)</f>
        <v>5</v>
      </c>
      <c r="P625" s="53">
        <f t="shared" si="9"/>
        <v>307</v>
      </c>
    </row>
    <row r="626" spans="2:16">
      <c r="B626" t="s">
        <v>706</v>
      </c>
      <c r="C626" t="s">
        <v>69</v>
      </c>
      <c r="D626" s="46" t="str" cm="1">
        <f t="array" ref="D626">_xlfn.XLOOKUP(C626,customers[Customer ID],customers[Gender],"")</f>
        <v>Male</v>
      </c>
      <c r="E626" s="46" cm="1">
        <f t="array" ref="E626">_xlfn.XLOOKUP(C626,customers[Customer ID],customers[Age],"")</f>
        <v>41</v>
      </c>
      <c r="F626" s="46" t="str" cm="1">
        <f t="array" ref="F626">_xlfn.XLOOKUP(C626,customers[Customer ID],customers[City],"")</f>
        <v>Columbus</v>
      </c>
      <c r="G626">
        <v>137</v>
      </c>
      <c r="H626" s="47" t="s">
        <v>36</v>
      </c>
      <c r="I626" s="48">
        <v>45124</v>
      </c>
      <c r="J626">
        <v>84</v>
      </c>
      <c r="K626">
        <v>2.6</v>
      </c>
      <c r="L626">
        <f>IF(MONTH(calls[[#This Row],[Date of Call]])&lt;=6,YEAR(calls[[#This Row],[Date of Call]]),YEAR(calls[[#This Row],[Date of Call]])+1)</f>
        <v>2024</v>
      </c>
      <c r="M626" t="str">
        <f>TEXT(calls[[#This Row],[Date of Call]],"DDDD")</f>
        <v>Monday</v>
      </c>
      <c r="N626" t="str" cm="1">
        <f t="array" ref="N62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26">
        <f>ROUND(calls[[#This Row],[Satisfaction Rating]],0)</f>
        <v>3</v>
      </c>
      <c r="P626" s="53">
        <f t="shared" si="9"/>
        <v>307</v>
      </c>
    </row>
    <row r="627" spans="2:16">
      <c r="B627" t="s">
        <v>707</v>
      </c>
      <c r="C627" t="s">
        <v>72</v>
      </c>
      <c r="D627" s="46" t="str" cm="1">
        <f t="array" ref="D627">_xlfn.XLOOKUP(C627,customers[Customer ID],customers[Gender],"")</f>
        <v>Female</v>
      </c>
      <c r="E627" s="46" cm="1">
        <f t="array" ref="E627">_xlfn.XLOOKUP(C627,customers[Customer ID],customers[Age],"")</f>
        <v>25</v>
      </c>
      <c r="F627" s="46" t="str" cm="1">
        <f t="array" ref="F627">_xlfn.XLOOKUP(C627,customers[Customer ID],customers[City],"")</f>
        <v>Columbus</v>
      </c>
      <c r="G627">
        <v>123</v>
      </c>
      <c r="H627" s="47" t="s">
        <v>39</v>
      </c>
      <c r="I627" s="48">
        <v>45124</v>
      </c>
      <c r="J627">
        <v>80</v>
      </c>
      <c r="K627">
        <v>2.7</v>
      </c>
      <c r="L627">
        <f>IF(MONTH(calls[[#This Row],[Date of Call]])&lt;=6,YEAR(calls[[#This Row],[Date of Call]]),YEAR(calls[[#This Row],[Date of Call]])+1)</f>
        <v>2024</v>
      </c>
      <c r="M627" t="str">
        <f>TEXT(calls[[#This Row],[Date of Call]],"DDDD")</f>
        <v>Monday</v>
      </c>
      <c r="N627" t="str" cm="1">
        <f t="array" ref="N62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27">
        <f>ROUND(calls[[#This Row],[Satisfaction Rating]],0)</f>
        <v>3</v>
      </c>
      <c r="P627" s="53">
        <f t="shared" si="9"/>
        <v>307</v>
      </c>
    </row>
    <row r="628" spans="2:16">
      <c r="B628" t="s">
        <v>708</v>
      </c>
      <c r="C628" t="s">
        <v>62</v>
      </c>
      <c r="D628" s="46" t="str" cm="1">
        <f t="array" ref="D628">_xlfn.XLOOKUP(C628,customers[Customer ID],customers[Gender],"")</f>
        <v>Female</v>
      </c>
      <c r="E628" s="46" cm="1">
        <f t="array" ref="E628">_xlfn.XLOOKUP(C628,customers[Customer ID],customers[Age],"")</f>
        <v>28</v>
      </c>
      <c r="F628" s="46" t="str" cm="1">
        <f t="array" ref="F628">_xlfn.XLOOKUP(C628,customers[Customer ID],customers[City],"")</f>
        <v>Cincinnati</v>
      </c>
      <c r="G628">
        <v>105</v>
      </c>
      <c r="H628" s="47" t="s">
        <v>39</v>
      </c>
      <c r="I628" s="48">
        <v>45125</v>
      </c>
      <c r="J628">
        <v>176</v>
      </c>
      <c r="K628">
        <v>4.7</v>
      </c>
      <c r="L628">
        <f>IF(MONTH(calls[[#This Row],[Date of Call]])&lt;=6,YEAR(calls[[#This Row],[Date of Call]]),YEAR(calls[[#This Row],[Date of Call]])+1)</f>
        <v>2024</v>
      </c>
      <c r="M628" t="str">
        <f>TEXT(calls[[#This Row],[Date of Call]],"DDDD")</f>
        <v>Tuesday</v>
      </c>
      <c r="N628" t="str" cm="1">
        <f t="array" ref="N6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28">
        <f>ROUND(calls[[#This Row],[Satisfaction Rating]],0)</f>
        <v>5</v>
      </c>
      <c r="P628" s="53">
        <f t="shared" si="9"/>
        <v>307</v>
      </c>
    </row>
    <row r="629" spans="2:16">
      <c r="B629" t="s">
        <v>709</v>
      </c>
      <c r="C629" t="s">
        <v>59</v>
      </c>
      <c r="D629" s="46" t="str" cm="1">
        <f t="array" ref="D629">_xlfn.XLOOKUP(C629,customers[Customer ID],customers[Gender],"")</f>
        <v>Male</v>
      </c>
      <c r="E629" s="46" cm="1">
        <f t="array" ref="E629">_xlfn.XLOOKUP(C629,customers[Customer ID],customers[Age],"")</f>
        <v>26</v>
      </c>
      <c r="F629" s="46" t="str" cm="1">
        <f t="array" ref="F629">_xlfn.XLOOKUP(C629,customers[Customer ID],customers[City],"")</f>
        <v>Cincinnati</v>
      </c>
      <c r="G629">
        <v>76</v>
      </c>
      <c r="H629" s="47" t="s">
        <v>38</v>
      </c>
      <c r="I629" s="48">
        <v>45126</v>
      </c>
      <c r="J629">
        <v>84</v>
      </c>
      <c r="K629">
        <v>3.9</v>
      </c>
      <c r="L629">
        <f>IF(MONTH(calls[[#This Row],[Date of Call]])&lt;=6,YEAR(calls[[#This Row],[Date of Call]]),YEAR(calls[[#This Row],[Date of Call]])+1)</f>
        <v>2024</v>
      </c>
      <c r="M629" t="str">
        <f>TEXT(calls[[#This Row],[Date of Call]],"DDDD")</f>
        <v>Wednesday</v>
      </c>
      <c r="N629" t="str" cm="1">
        <f t="array" ref="N6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29">
        <f>ROUND(calls[[#This Row],[Satisfaction Rating]],0)</f>
        <v>4</v>
      </c>
      <c r="P629" s="53">
        <f t="shared" si="9"/>
        <v>307</v>
      </c>
    </row>
    <row r="630" spans="2:16">
      <c r="B630" t="s">
        <v>710</v>
      </c>
      <c r="C630" t="s">
        <v>60</v>
      </c>
      <c r="D630" s="46" t="str" cm="1">
        <f t="array" ref="D630">_xlfn.XLOOKUP(C630,customers[Customer ID],customers[Gender],"")</f>
        <v>Male</v>
      </c>
      <c r="E630" s="46" cm="1">
        <f t="array" ref="E630">_xlfn.XLOOKUP(C630,customers[Customer ID],customers[Age],"")</f>
        <v>36</v>
      </c>
      <c r="F630" s="46" t="str" cm="1">
        <f t="array" ref="F630">_xlfn.XLOOKUP(C630,customers[Customer ID],customers[City],"")</f>
        <v>Cincinnati</v>
      </c>
      <c r="G630">
        <v>144</v>
      </c>
      <c r="H630" s="47" t="s">
        <v>38</v>
      </c>
      <c r="I630" s="48">
        <v>45126</v>
      </c>
      <c r="J630">
        <v>164</v>
      </c>
      <c r="K630">
        <v>2.8</v>
      </c>
      <c r="L630">
        <f>IF(MONTH(calls[[#This Row],[Date of Call]])&lt;=6,YEAR(calls[[#This Row],[Date of Call]]),YEAR(calls[[#This Row],[Date of Call]])+1)</f>
        <v>2024</v>
      </c>
      <c r="M630" t="str">
        <f>TEXT(calls[[#This Row],[Date of Call]],"DDDD")</f>
        <v>Wednesday</v>
      </c>
      <c r="N630" t="str" cm="1">
        <f t="array" ref="N63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30">
        <f>ROUND(calls[[#This Row],[Satisfaction Rating]],0)</f>
        <v>3</v>
      </c>
      <c r="P630" s="53">
        <f t="shared" si="9"/>
        <v>307</v>
      </c>
    </row>
    <row r="631" spans="2:16">
      <c r="B631" t="s">
        <v>711</v>
      </c>
      <c r="C631" t="s">
        <v>65</v>
      </c>
      <c r="D631" s="46" t="str" cm="1">
        <f t="array" ref="D631">_xlfn.XLOOKUP(C631,customers[Customer ID],customers[Gender],"")</f>
        <v>Female</v>
      </c>
      <c r="E631" s="46" cm="1">
        <f t="array" ref="E631">_xlfn.XLOOKUP(C631,customers[Customer ID],customers[Age],"")</f>
        <v>42</v>
      </c>
      <c r="F631" s="46" t="str" cm="1">
        <f t="array" ref="F631">_xlfn.XLOOKUP(C631,customers[Customer ID],customers[City],"")</f>
        <v>Cleveland</v>
      </c>
      <c r="G631">
        <v>109</v>
      </c>
      <c r="H631" s="47" t="s">
        <v>40</v>
      </c>
      <c r="I631" s="48">
        <v>45126</v>
      </c>
      <c r="J631">
        <v>132</v>
      </c>
      <c r="K631">
        <v>3.1</v>
      </c>
      <c r="L631">
        <f>IF(MONTH(calls[[#This Row],[Date of Call]])&lt;=6,YEAR(calls[[#This Row],[Date of Call]]),YEAR(calls[[#This Row],[Date of Call]])+1)</f>
        <v>2024</v>
      </c>
      <c r="M631" t="str">
        <f>TEXT(calls[[#This Row],[Date of Call]],"DDDD")</f>
        <v>Wednesday</v>
      </c>
      <c r="N631" t="str" cm="1">
        <f t="array" ref="N63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31">
        <f>ROUND(calls[[#This Row],[Satisfaction Rating]],0)</f>
        <v>3</v>
      </c>
      <c r="P631" s="53">
        <f t="shared" si="9"/>
        <v>307</v>
      </c>
    </row>
    <row r="632" spans="2:16">
      <c r="B632" t="s">
        <v>712</v>
      </c>
      <c r="C632" t="s">
        <v>72</v>
      </c>
      <c r="D632" s="46" t="str" cm="1">
        <f t="array" ref="D632">_xlfn.XLOOKUP(C632,customers[Customer ID],customers[Gender],"")</f>
        <v>Female</v>
      </c>
      <c r="E632" s="46" cm="1">
        <f t="array" ref="E632">_xlfn.XLOOKUP(C632,customers[Customer ID],customers[Age],"")</f>
        <v>25</v>
      </c>
      <c r="F632" s="46" t="str" cm="1">
        <f t="array" ref="F632">_xlfn.XLOOKUP(C632,customers[Customer ID],customers[City],"")</f>
        <v>Columbus</v>
      </c>
      <c r="G632">
        <v>172</v>
      </c>
      <c r="H632" s="47" t="s">
        <v>36</v>
      </c>
      <c r="I632" s="48">
        <v>45127</v>
      </c>
      <c r="J632">
        <v>27</v>
      </c>
      <c r="K632">
        <v>4.2</v>
      </c>
      <c r="L632">
        <f>IF(MONTH(calls[[#This Row],[Date of Call]])&lt;=6,YEAR(calls[[#This Row],[Date of Call]]),YEAR(calls[[#This Row],[Date of Call]])+1)</f>
        <v>2024</v>
      </c>
      <c r="M632" t="str">
        <f>TEXT(calls[[#This Row],[Date of Call]],"DDDD")</f>
        <v>Thursday</v>
      </c>
      <c r="N632" t="str" cm="1">
        <f t="array" ref="N63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32">
        <f>ROUND(calls[[#This Row],[Satisfaction Rating]],0)</f>
        <v>4</v>
      </c>
      <c r="P632" s="53">
        <f t="shared" si="9"/>
        <v>307</v>
      </c>
    </row>
    <row r="633" spans="2:16">
      <c r="B633" t="s">
        <v>713</v>
      </c>
      <c r="C633" t="s">
        <v>60</v>
      </c>
      <c r="D633" s="46" t="str" cm="1">
        <f t="array" ref="D633">_xlfn.XLOOKUP(C633,customers[Customer ID],customers[Gender],"")</f>
        <v>Male</v>
      </c>
      <c r="E633" s="46" cm="1">
        <f t="array" ref="E633">_xlfn.XLOOKUP(C633,customers[Customer ID],customers[Age],"")</f>
        <v>36</v>
      </c>
      <c r="F633" s="46" t="str" cm="1">
        <f t="array" ref="F633">_xlfn.XLOOKUP(C633,customers[Customer ID],customers[City],"")</f>
        <v>Cincinnati</v>
      </c>
      <c r="G633">
        <v>56</v>
      </c>
      <c r="H633" s="47" t="s">
        <v>39</v>
      </c>
      <c r="I633" s="48">
        <v>45127</v>
      </c>
      <c r="J633">
        <v>27</v>
      </c>
      <c r="K633">
        <v>4.3</v>
      </c>
      <c r="L633">
        <f>IF(MONTH(calls[[#This Row],[Date of Call]])&lt;=6,YEAR(calls[[#This Row],[Date of Call]]),YEAR(calls[[#This Row],[Date of Call]])+1)</f>
        <v>2024</v>
      </c>
      <c r="M633" t="str">
        <f>TEXT(calls[[#This Row],[Date of Call]],"DDDD")</f>
        <v>Thursday</v>
      </c>
      <c r="N633" t="str" cm="1">
        <f t="array" ref="N63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33">
        <f>ROUND(calls[[#This Row],[Satisfaction Rating]],0)</f>
        <v>4</v>
      </c>
      <c r="P633" s="53">
        <f t="shared" si="9"/>
        <v>307</v>
      </c>
    </row>
    <row r="634" spans="2:16">
      <c r="B634" t="s">
        <v>714</v>
      </c>
      <c r="C634" t="s">
        <v>60</v>
      </c>
      <c r="D634" s="46" t="str" cm="1">
        <f t="array" ref="D634">_xlfn.XLOOKUP(C634,customers[Customer ID],customers[Gender],"")</f>
        <v>Male</v>
      </c>
      <c r="E634" s="46" cm="1">
        <f t="array" ref="E634">_xlfn.XLOOKUP(C634,customers[Customer ID],customers[Age],"")</f>
        <v>36</v>
      </c>
      <c r="F634" s="46" t="str" cm="1">
        <f t="array" ref="F634">_xlfn.XLOOKUP(C634,customers[Customer ID],customers[City],"")</f>
        <v>Cincinnati</v>
      </c>
      <c r="G634">
        <v>121</v>
      </c>
      <c r="H634" s="47" t="s">
        <v>37</v>
      </c>
      <c r="I634" s="48">
        <v>45127</v>
      </c>
      <c r="J634">
        <v>20</v>
      </c>
      <c r="K634">
        <v>2.7</v>
      </c>
      <c r="L634">
        <f>IF(MONTH(calls[[#This Row],[Date of Call]])&lt;=6,YEAR(calls[[#This Row],[Date of Call]]),YEAR(calls[[#This Row],[Date of Call]])+1)</f>
        <v>2024</v>
      </c>
      <c r="M634" t="str">
        <f>TEXT(calls[[#This Row],[Date of Call]],"DDDD")</f>
        <v>Thursday</v>
      </c>
      <c r="N634" t="str" cm="1">
        <f t="array" ref="N63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34">
        <f>ROUND(calls[[#This Row],[Satisfaction Rating]],0)</f>
        <v>3</v>
      </c>
      <c r="P634" s="53">
        <f t="shared" si="9"/>
        <v>307</v>
      </c>
    </row>
    <row r="635" spans="2:16">
      <c r="B635" t="s">
        <v>715</v>
      </c>
      <c r="C635" t="s">
        <v>72</v>
      </c>
      <c r="D635" s="46" t="str" cm="1">
        <f t="array" ref="D635">_xlfn.XLOOKUP(C635,customers[Customer ID],customers[Gender],"")</f>
        <v>Female</v>
      </c>
      <c r="E635" s="46" cm="1">
        <f t="array" ref="E635">_xlfn.XLOOKUP(C635,customers[Customer ID],customers[Age],"")</f>
        <v>25</v>
      </c>
      <c r="F635" s="46" t="str" cm="1">
        <f t="array" ref="F635">_xlfn.XLOOKUP(C635,customers[Customer ID],customers[City],"")</f>
        <v>Columbus</v>
      </c>
      <c r="G635">
        <v>41</v>
      </c>
      <c r="H635" s="47" t="s">
        <v>39</v>
      </c>
      <c r="I635" s="48">
        <v>45128</v>
      </c>
      <c r="J635">
        <v>112</v>
      </c>
      <c r="K635">
        <v>2.3</v>
      </c>
      <c r="L635">
        <f>IF(MONTH(calls[[#This Row],[Date of Call]])&lt;=6,YEAR(calls[[#This Row],[Date of Call]]),YEAR(calls[[#This Row],[Date of Call]])+1)</f>
        <v>2024</v>
      </c>
      <c r="M635" t="str">
        <f>TEXT(calls[[#This Row],[Date of Call]],"DDDD")</f>
        <v>Friday</v>
      </c>
      <c r="N635" t="str" cm="1">
        <f t="array" ref="N63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35">
        <f>ROUND(calls[[#This Row],[Satisfaction Rating]],0)</f>
        <v>2</v>
      </c>
      <c r="P635" s="53">
        <f t="shared" si="9"/>
        <v>307</v>
      </c>
    </row>
    <row r="636" spans="2:16">
      <c r="B636" t="s">
        <v>716</v>
      </c>
      <c r="C636" t="s">
        <v>73</v>
      </c>
      <c r="D636" s="46" t="str" cm="1">
        <f t="array" ref="D636">_xlfn.XLOOKUP(C636,customers[Customer ID],customers[Gender],"")</f>
        <v>Female</v>
      </c>
      <c r="E636" s="46" cm="1">
        <f t="array" ref="E636">_xlfn.XLOOKUP(C636,customers[Customer ID],customers[Age],"")</f>
        <v>38</v>
      </c>
      <c r="F636" s="46" t="str" cm="1">
        <f t="array" ref="F636">_xlfn.XLOOKUP(C636,customers[Customer ID],customers[City],"")</f>
        <v>Columbus</v>
      </c>
      <c r="G636">
        <v>60</v>
      </c>
      <c r="H636" s="47" t="s">
        <v>36</v>
      </c>
      <c r="I636" s="48">
        <v>45128</v>
      </c>
      <c r="J636">
        <v>60</v>
      </c>
      <c r="K636">
        <v>2.3</v>
      </c>
      <c r="L636">
        <f>IF(MONTH(calls[[#This Row],[Date of Call]])&lt;=6,YEAR(calls[[#This Row],[Date of Call]]),YEAR(calls[[#This Row],[Date of Call]])+1)</f>
        <v>2024</v>
      </c>
      <c r="M636" t="str">
        <f>TEXT(calls[[#This Row],[Date of Call]],"DDDD")</f>
        <v>Friday</v>
      </c>
      <c r="N636" t="str" cm="1">
        <f t="array" ref="N63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36">
        <f>ROUND(calls[[#This Row],[Satisfaction Rating]],0)</f>
        <v>2</v>
      </c>
      <c r="P636" s="53">
        <f t="shared" si="9"/>
        <v>307</v>
      </c>
    </row>
    <row r="637" spans="2:16">
      <c r="B637" t="s">
        <v>717</v>
      </c>
      <c r="C637" t="s">
        <v>73</v>
      </c>
      <c r="D637" s="46" t="str" cm="1">
        <f t="array" ref="D637">_xlfn.XLOOKUP(C637,customers[Customer ID],customers[Gender],"")</f>
        <v>Female</v>
      </c>
      <c r="E637" s="46" cm="1">
        <f t="array" ref="E637">_xlfn.XLOOKUP(C637,customers[Customer ID],customers[Age],"")</f>
        <v>38</v>
      </c>
      <c r="F637" s="46" t="str" cm="1">
        <f t="array" ref="F637">_xlfn.XLOOKUP(C637,customers[Customer ID],customers[City],"")</f>
        <v>Columbus</v>
      </c>
      <c r="G637">
        <v>144</v>
      </c>
      <c r="H637" s="47" t="s">
        <v>36</v>
      </c>
      <c r="I637" s="48">
        <v>45129</v>
      </c>
      <c r="J637">
        <v>102</v>
      </c>
      <c r="K637">
        <v>2.9</v>
      </c>
      <c r="L637">
        <f>IF(MONTH(calls[[#This Row],[Date of Call]])&lt;=6,YEAR(calls[[#This Row],[Date of Call]]),YEAR(calls[[#This Row],[Date of Call]])+1)</f>
        <v>2024</v>
      </c>
      <c r="M637" t="str">
        <f>TEXT(calls[[#This Row],[Date of Call]],"DDDD")</f>
        <v>Saturday</v>
      </c>
      <c r="N637" t="str" cm="1">
        <f t="array" ref="N63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37">
        <f>ROUND(calls[[#This Row],[Satisfaction Rating]],0)</f>
        <v>3</v>
      </c>
      <c r="P637" s="53">
        <f t="shared" si="9"/>
        <v>307</v>
      </c>
    </row>
    <row r="638" spans="2:16">
      <c r="B638" t="s">
        <v>718</v>
      </c>
      <c r="C638" t="s">
        <v>61</v>
      </c>
      <c r="D638" s="46" t="str" cm="1">
        <f t="array" ref="D638">_xlfn.XLOOKUP(C638,customers[Customer ID],customers[Gender],"")</f>
        <v>Female</v>
      </c>
      <c r="E638" s="46" cm="1">
        <f t="array" ref="E638">_xlfn.XLOOKUP(C638,customers[Customer ID],customers[Age],"")</f>
        <v>30</v>
      </c>
      <c r="F638" s="46" t="str" cm="1">
        <f t="array" ref="F638">_xlfn.XLOOKUP(C638,customers[Customer ID],customers[City],"")</f>
        <v>Cincinnati</v>
      </c>
      <c r="G638">
        <v>67</v>
      </c>
      <c r="H638" s="47" t="s">
        <v>36</v>
      </c>
      <c r="I638" s="48">
        <v>45129</v>
      </c>
      <c r="J638">
        <v>38</v>
      </c>
      <c r="K638">
        <v>4.2</v>
      </c>
      <c r="L638">
        <f>IF(MONTH(calls[[#This Row],[Date of Call]])&lt;=6,YEAR(calls[[#This Row],[Date of Call]]),YEAR(calls[[#This Row],[Date of Call]])+1)</f>
        <v>2024</v>
      </c>
      <c r="M638" t="str">
        <f>TEXT(calls[[#This Row],[Date of Call]],"DDDD")</f>
        <v>Saturday</v>
      </c>
      <c r="N638" t="str" cm="1">
        <f t="array" ref="N6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38">
        <f>ROUND(calls[[#This Row],[Satisfaction Rating]],0)</f>
        <v>4</v>
      </c>
      <c r="P638" s="53">
        <f t="shared" si="9"/>
        <v>307</v>
      </c>
    </row>
    <row r="639" spans="2:16">
      <c r="B639" t="s">
        <v>719</v>
      </c>
      <c r="C639" t="s">
        <v>72</v>
      </c>
      <c r="D639" s="46" t="str" cm="1">
        <f t="array" ref="D639">_xlfn.XLOOKUP(C639,customers[Customer ID],customers[Gender],"")</f>
        <v>Female</v>
      </c>
      <c r="E639" s="46" cm="1">
        <f t="array" ref="E639">_xlfn.XLOOKUP(C639,customers[Customer ID],customers[Age],"")</f>
        <v>25</v>
      </c>
      <c r="F639" s="46" t="str" cm="1">
        <f t="array" ref="F639">_xlfn.XLOOKUP(C639,customers[Customer ID],customers[City],"")</f>
        <v>Columbus</v>
      </c>
      <c r="G639">
        <v>162</v>
      </c>
      <c r="H639" s="47" t="s">
        <v>40</v>
      </c>
      <c r="I639" s="48">
        <v>45129</v>
      </c>
      <c r="J639">
        <v>82</v>
      </c>
      <c r="K639">
        <v>4.6</v>
      </c>
      <c r="L639">
        <f>IF(MONTH(calls[[#This Row],[Date of Call]])&lt;=6,YEAR(calls[[#This Row],[Date of Call]]),YEAR(calls[[#This Row],[Date of Call]])+1)</f>
        <v>2024</v>
      </c>
      <c r="M639" t="str">
        <f>TEXT(calls[[#This Row],[Date of Call]],"DDDD")</f>
        <v>Saturday</v>
      </c>
      <c r="N639" t="str" cm="1">
        <f t="array" ref="N63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39">
        <f>ROUND(calls[[#This Row],[Satisfaction Rating]],0)</f>
        <v>5</v>
      </c>
      <c r="P639" s="53">
        <f t="shared" si="9"/>
        <v>307</v>
      </c>
    </row>
    <row r="640" spans="2:16">
      <c r="B640" t="s">
        <v>720</v>
      </c>
      <c r="C640" t="s">
        <v>73</v>
      </c>
      <c r="D640" s="46" t="str" cm="1">
        <f t="array" ref="D640">_xlfn.XLOOKUP(C640,customers[Customer ID],customers[Gender],"")</f>
        <v>Female</v>
      </c>
      <c r="E640" s="46" cm="1">
        <f t="array" ref="E640">_xlfn.XLOOKUP(C640,customers[Customer ID],customers[Age],"")</f>
        <v>38</v>
      </c>
      <c r="F640" s="46" t="str" cm="1">
        <f t="array" ref="F640">_xlfn.XLOOKUP(C640,customers[Customer ID],customers[City],"")</f>
        <v>Columbus</v>
      </c>
      <c r="G640">
        <v>87</v>
      </c>
      <c r="H640" s="47" t="s">
        <v>37</v>
      </c>
      <c r="I640" s="48">
        <v>45132</v>
      </c>
      <c r="J640">
        <v>125</v>
      </c>
      <c r="K640">
        <v>4.5</v>
      </c>
      <c r="L640">
        <f>IF(MONTH(calls[[#This Row],[Date of Call]])&lt;=6,YEAR(calls[[#This Row],[Date of Call]]),YEAR(calls[[#This Row],[Date of Call]])+1)</f>
        <v>2024</v>
      </c>
      <c r="M640" t="str">
        <f>TEXT(calls[[#This Row],[Date of Call]],"DDDD")</f>
        <v>Tuesday</v>
      </c>
      <c r="N640" t="str" cm="1">
        <f t="array" ref="N6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40">
        <f>ROUND(calls[[#This Row],[Satisfaction Rating]],0)</f>
        <v>5</v>
      </c>
      <c r="P640" s="53">
        <f t="shared" si="9"/>
        <v>307</v>
      </c>
    </row>
    <row r="641" spans="2:16">
      <c r="B641" t="s">
        <v>721</v>
      </c>
      <c r="C641" t="s">
        <v>68</v>
      </c>
      <c r="D641" s="46" t="str" cm="1">
        <f t="array" ref="D641">_xlfn.XLOOKUP(C641,customers[Customer ID],customers[Gender],"")</f>
        <v>Female</v>
      </c>
      <c r="E641" s="46" cm="1">
        <f t="array" ref="E641">_xlfn.XLOOKUP(C641,customers[Customer ID],customers[Age],"")</f>
        <v>43</v>
      </c>
      <c r="F641" s="46" t="str" cm="1">
        <f t="array" ref="F641">_xlfn.XLOOKUP(C641,customers[Customer ID],customers[City],"")</f>
        <v>Cleveland</v>
      </c>
      <c r="G641">
        <v>10</v>
      </c>
      <c r="H641" s="47" t="s">
        <v>38</v>
      </c>
      <c r="I641" s="48">
        <v>45133</v>
      </c>
      <c r="J641">
        <v>72</v>
      </c>
      <c r="K641">
        <v>3.7</v>
      </c>
      <c r="L641">
        <f>IF(MONTH(calls[[#This Row],[Date of Call]])&lt;=6,YEAR(calls[[#This Row],[Date of Call]]),YEAR(calls[[#This Row],[Date of Call]])+1)</f>
        <v>2024</v>
      </c>
      <c r="M641" t="str">
        <f>TEXT(calls[[#This Row],[Date of Call]],"DDDD")</f>
        <v>Wednesday</v>
      </c>
      <c r="N641" t="str" cm="1">
        <f t="array" ref="N641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O641">
        <f>ROUND(calls[[#This Row],[Satisfaction Rating]],0)</f>
        <v>4</v>
      </c>
      <c r="P641" s="53">
        <f t="shared" si="9"/>
        <v>307</v>
      </c>
    </row>
    <row r="642" spans="2:16">
      <c r="B642" t="s">
        <v>722</v>
      </c>
      <c r="C642" t="s">
        <v>60</v>
      </c>
      <c r="D642" s="46" t="str" cm="1">
        <f t="array" ref="D642">_xlfn.XLOOKUP(C642,customers[Customer ID],customers[Gender],"")</f>
        <v>Male</v>
      </c>
      <c r="E642" s="46" cm="1">
        <f t="array" ref="E642">_xlfn.XLOOKUP(C642,customers[Customer ID],customers[Age],"")</f>
        <v>36</v>
      </c>
      <c r="F642" s="46" t="str" cm="1">
        <f t="array" ref="F642">_xlfn.XLOOKUP(C642,customers[Customer ID],customers[City],"")</f>
        <v>Cincinnati</v>
      </c>
      <c r="G642">
        <v>138</v>
      </c>
      <c r="H642" s="47" t="s">
        <v>38</v>
      </c>
      <c r="I642" s="48">
        <v>45133</v>
      </c>
      <c r="J642">
        <v>195</v>
      </c>
      <c r="K642">
        <v>4.1</v>
      </c>
      <c r="L642">
        <f>IF(MONTH(calls[[#This Row],[Date of Call]])&lt;=6,YEAR(calls[[#This Row],[Date of Call]]),YEAR(calls[[#This Row],[Date of Call]])+1)</f>
        <v>2024</v>
      </c>
      <c r="M642" t="str">
        <f>TEXT(calls[[#This Row],[Date of Call]],"DDDD")</f>
        <v>Wednesday</v>
      </c>
      <c r="N642" t="str" cm="1">
        <f t="array" ref="N64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42">
        <f>ROUND(calls[[#This Row],[Satisfaction Rating]],0)</f>
        <v>4</v>
      </c>
      <c r="P642" s="53">
        <f t="shared" si="9"/>
        <v>307</v>
      </c>
    </row>
    <row r="643" spans="2:16">
      <c r="B643" t="s">
        <v>723</v>
      </c>
      <c r="C643" t="s">
        <v>72</v>
      </c>
      <c r="D643" s="46" t="str" cm="1">
        <f t="array" ref="D643">_xlfn.XLOOKUP(C643,customers[Customer ID],customers[Gender],"")</f>
        <v>Female</v>
      </c>
      <c r="E643" s="46" cm="1">
        <f t="array" ref="E643">_xlfn.XLOOKUP(C643,customers[Customer ID],customers[Age],"")</f>
        <v>25</v>
      </c>
      <c r="F643" s="46" t="str" cm="1">
        <f t="array" ref="F643">_xlfn.XLOOKUP(C643,customers[Customer ID],customers[City],"")</f>
        <v>Columbus</v>
      </c>
      <c r="G643">
        <v>31</v>
      </c>
      <c r="H643" s="47" t="s">
        <v>38</v>
      </c>
      <c r="I643" s="48">
        <v>45134</v>
      </c>
      <c r="J643">
        <v>160</v>
      </c>
      <c r="K643">
        <v>3.4</v>
      </c>
      <c r="L643">
        <f>IF(MONTH(calls[[#This Row],[Date of Call]])&lt;=6,YEAR(calls[[#This Row],[Date of Call]]),YEAR(calls[[#This Row],[Date of Call]])+1)</f>
        <v>2024</v>
      </c>
      <c r="M643" t="str">
        <f>TEXT(calls[[#This Row],[Date of Call]],"DDDD")</f>
        <v>Thursday</v>
      </c>
      <c r="N643" t="str" cm="1">
        <f t="array" ref="N64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43">
        <f>ROUND(calls[[#This Row],[Satisfaction Rating]],0)</f>
        <v>3</v>
      </c>
      <c r="P643" s="53">
        <f t="shared" si="9"/>
        <v>307</v>
      </c>
    </row>
    <row r="644" spans="2:16">
      <c r="B644" t="s">
        <v>724</v>
      </c>
      <c r="C644" t="s">
        <v>62</v>
      </c>
      <c r="D644" s="46" t="str" cm="1">
        <f t="array" ref="D644">_xlfn.XLOOKUP(C644,customers[Customer ID],customers[Gender],"")</f>
        <v>Female</v>
      </c>
      <c r="E644" s="46" cm="1">
        <f t="array" ref="E644">_xlfn.XLOOKUP(C644,customers[Customer ID],customers[Age],"")</f>
        <v>28</v>
      </c>
      <c r="F644" s="46" t="str" cm="1">
        <f t="array" ref="F644">_xlfn.XLOOKUP(C644,customers[Customer ID],customers[City],"")</f>
        <v>Cincinnati</v>
      </c>
      <c r="G644">
        <v>75</v>
      </c>
      <c r="H644" s="47" t="s">
        <v>40</v>
      </c>
      <c r="I644" s="48">
        <v>45134</v>
      </c>
      <c r="J644">
        <v>78</v>
      </c>
      <c r="K644">
        <v>3.3</v>
      </c>
      <c r="L644">
        <f>IF(MONTH(calls[[#This Row],[Date of Call]])&lt;=6,YEAR(calls[[#This Row],[Date of Call]]),YEAR(calls[[#This Row],[Date of Call]])+1)</f>
        <v>2024</v>
      </c>
      <c r="M644" t="str">
        <f>TEXT(calls[[#This Row],[Date of Call]],"DDDD")</f>
        <v>Thursday</v>
      </c>
      <c r="N644" t="str" cm="1">
        <f t="array" ref="N6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44">
        <f>ROUND(calls[[#This Row],[Satisfaction Rating]],0)</f>
        <v>3</v>
      </c>
      <c r="P644" s="53">
        <f t="shared" ref="P644:P707" si="10">COUNTIF(O:O,5)</f>
        <v>307</v>
      </c>
    </row>
    <row r="645" spans="2:16">
      <c r="B645" t="s">
        <v>725</v>
      </c>
      <c r="C645" t="s">
        <v>59</v>
      </c>
      <c r="D645" s="46" t="str" cm="1">
        <f t="array" ref="D645">_xlfn.XLOOKUP(C645,customers[Customer ID],customers[Gender],"")</f>
        <v>Male</v>
      </c>
      <c r="E645" s="46" cm="1">
        <f t="array" ref="E645">_xlfn.XLOOKUP(C645,customers[Customer ID],customers[Age],"")</f>
        <v>26</v>
      </c>
      <c r="F645" s="46" t="str" cm="1">
        <f t="array" ref="F645">_xlfn.XLOOKUP(C645,customers[Customer ID],customers[City],"")</f>
        <v>Cincinnati</v>
      </c>
      <c r="G645">
        <v>65</v>
      </c>
      <c r="H645" s="47" t="s">
        <v>40</v>
      </c>
      <c r="I645" s="48">
        <v>45135</v>
      </c>
      <c r="J645">
        <v>70</v>
      </c>
      <c r="K645">
        <v>4.4</v>
      </c>
      <c r="L645">
        <f>IF(MONTH(calls[[#This Row],[Date of Call]])&lt;=6,YEAR(calls[[#This Row],[Date of Call]]),YEAR(calls[[#This Row],[Date of Call]])+1)</f>
        <v>2024</v>
      </c>
      <c r="M645" t="str">
        <f>TEXT(calls[[#This Row],[Date of Call]],"DDDD")</f>
        <v>Friday</v>
      </c>
      <c r="N645" t="str" cm="1">
        <f t="array" ref="N6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45">
        <f>ROUND(calls[[#This Row],[Satisfaction Rating]],0)</f>
        <v>4</v>
      </c>
      <c r="P645" s="53">
        <f t="shared" si="10"/>
        <v>307</v>
      </c>
    </row>
    <row r="646" spans="2:16">
      <c r="B646" t="s">
        <v>726</v>
      </c>
      <c r="C646" t="s">
        <v>70</v>
      </c>
      <c r="D646" s="46" t="str" cm="1">
        <f t="array" ref="D646">_xlfn.XLOOKUP(C646,customers[Customer ID],customers[Gender],"")</f>
        <v>Male</v>
      </c>
      <c r="E646" s="46" cm="1">
        <f t="array" ref="E646">_xlfn.XLOOKUP(C646,customers[Customer ID],customers[Age],"")</f>
        <v>37</v>
      </c>
      <c r="F646" s="46" t="str" cm="1">
        <f t="array" ref="F646">_xlfn.XLOOKUP(C646,customers[Customer ID],customers[City],"")</f>
        <v>Columbus</v>
      </c>
      <c r="G646">
        <v>106</v>
      </c>
      <c r="H646" s="47" t="s">
        <v>39</v>
      </c>
      <c r="I646" s="48">
        <v>45135</v>
      </c>
      <c r="J646">
        <v>105</v>
      </c>
      <c r="K646">
        <v>4.2</v>
      </c>
      <c r="L646">
        <f>IF(MONTH(calls[[#This Row],[Date of Call]])&lt;=6,YEAR(calls[[#This Row],[Date of Call]]),YEAR(calls[[#This Row],[Date of Call]])+1)</f>
        <v>2024</v>
      </c>
      <c r="M646" t="str">
        <f>TEXT(calls[[#This Row],[Date of Call]],"DDDD")</f>
        <v>Friday</v>
      </c>
      <c r="N646" t="str" cm="1">
        <f t="array" ref="N64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46">
        <f>ROUND(calls[[#This Row],[Satisfaction Rating]],0)</f>
        <v>4</v>
      </c>
      <c r="P646" s="53">
        <f t="shared" si="10"/>
        <v>307</v>
      </c>
    </row>
    <row r="647" spans="2:16">
      <c r="B647" t="s">
        <v>727</v>
      </c>
      <c r="C647" t="s">
        <v>59</v>
      </c>
      <c r="D647" s="46" t="str" cm="1">
        <f t="array" ref="D647">_xlfn.XLOOKUP(C647,customers[Customer ID],customers[Gender],"")</f>
        <v>Male</v>
      </c>
      <c r="E647" s="46" cm="1">
        <f t="array" ref="E647">_xlfn.XLOOKUP(C647,customers[Customer ID],customers[Age],"")</f>
        <v>26</v>
      </c>
      <c r="F647" s="46" t="str" cm="1">
        <f t="array" ref="F647">_xlfn.XLOOKUP(C647,customers[Customer ID],customers[City],"")</f>
        <v>Cincinnati</v>
      </c>
      <c r="G647">
        <v>107</v>
      </c>
      <c r="H647" s="47" t="s">
        <v>39</v>
      </c>
      <c r="I647" s="48">
        <v>45136</v>
      </c>
      <c r="J647">
        <v>78</v>
      </c>
      <c r="K647">
        <v>3.4</v>
      </c>
      <c r="L647">
        <f>IF(MONTH(calls[[#This Row],[Date of Call]])&lt;=6,YEAR(calls[[#This Row],[Date of Call]]),YEAR(calls[[#This Row],[Date of Call]])+1)</f>
        <v>2024</v>
      </c>
      <c r="M647" t="str">
        <f>TEXT(calls[[#This Row],[Date of Call]],"DDDD")</f>
        <v>Saturday</v>
      </c>
      <c r="N647" t="str" cm="1">
        <f t="array" ref="N64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47">
        <f>ROUND(calls[[#This Row],[Satisfaction Rating]],0)</f>
        <v>3</v>
      </c>
      <c r="P647" s="53">
        <f t="shared" si="10"/>
        <v>307</v>
      </c>
    </row>
    <row r="648" spans="2:16">
      <c r="B648" t="s">
        <v>728</v>
      </c>
      <c r="C648" t="s">
        <v>69</v>
      </c>
      <c r="D648" s="46" t="str" cm="1">
        <f t="array" ref="D648">_xlfn.XLOOKUP(C648,customers[Customer ID],customers[Gender],"")</f>
        <v>Male</v>
      </c>
      <c r="E648" s="46" cm="1">
        <f t="array" ref="E648">_xlfn.XLOOKUP(C648,customers[Customer ID],customers[Age],"")</f>
        <v>41</v>
      </c>
      <c r="F648" s="46" t="str" cm="1">
        <f t="array" ref="F648">_xlfn.XLOOKUP(C648,customers[Customer ID],customers[City],"")</f>
        <v>Columbus</v>
      </c>
      <c r="G648">
        <v>78</v>
      </c>
      <c r="H648" s="47" t="s">
        <v>39</v>
      </c>
      <c r="I648" s="48">
        <v>45138</v>
      </c>
      <c r="J648">
        <v>205</v>
      </c>
      <c r="K648">
        <v>4.4</v>
      </c>
      <c r="L648">
        <f>IF(MONTH(calls[[#This Row],[Date of Call]])&lt;=6,YEAR(calls[[#This Row],[Date of Call]]),YEAR(calls[[#This Row],[Date of Call]])+1)</f>
        <v>2024</v>
      </c>
      <c r="M648" t="str">
        <f>TEXT(calls[[#This Row],[Date of Call]],"DDDD")</f>
        <v>Monday</v>
      </c>
      <c r="N648" t="str" cm="1">
        <f t="array" ref="N64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48">
        <f>ROUND(calls[[#This Row],[Satisfaction Rating]],0)</f>
        <v>4</v>
      </c>
      <c r="P648" s="53">
        <f t="shared" si="10"/>
        <v>307</v>
      </c>
    </row>
    <row r="649" spans="2:16">
      <c r="B649" t="s">
        <v>729</v>
      </c>
      <c r="C649" t="s">
        <v>63</v>
      </c>
      <c r="D649" s="46" t="str" cm="1">
        <f t="array" ref="D649">_xlfn.XLOOKUP(C649,customers[Customer ID],customers[Gender],"")</f>
        <v>Male</v>
      </c>
      <c r="E649" s="46" cm="1">
        <f t="array" ref="E649">_xlfn.XLOOKUP(C649,customers[Customer ID],customers[Age],"")</f>
        <v>31</v>
      </c>
      <c r="F649" s="46" t="str" cm="1">
        <f t="array" ref="F649">_xlfn.XLOOKUP(C649,customers[Customer ID],customers[City],"")</f>
        <v>Cleveland</v>
      </c>
      <c r="G649">
        <v>122</v>
      </c>
      <c r="H649" s="47" t="s">
        <v>39</v>
      </c>
      <c r="I649" s="48">
        <v>45138</v>
      </c>
      <c r="J649">
        <v>78</v>
      </c>
      <c r="K649">
        <v>2.7</v>
      </c>
      <c r="L649">
        <f>IF(MONTH(calls[[#This Row],[Date of Call]])&lt;=6,YEAR(calls[[#This Row],[Date of Call]]),YEAR(calls[[#This Row],[Date of Call]])+1)</f>
        <v>2024</v>
      </c>
      <c r="M649" t="str">
        <f>TEXT(calls[[#This Row],[Date of Call]],"DDDD")</f>
        <v>Monday</v>
      </c>
      <c r="N649" t="str" cm="1">
        <f t="array" ref="N64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49">
        <f>ROUND(calls[[#This Row],[Satisfaction Rating]],0)</f>
        <v>3</v>
      </c>
      <c r="P649" s="53">
        <f t="shared" si="10"/>
        <v>307</v>
      </c>
    </row>
    <row r="650" spans="2:16">
      <c r="B650" t="s">
        <v>730</v>
      </c>
      <c r="C650" t="s">
        <v>60</v>
      </c>
      <c r="D650" s="46" t="str" cm="1">
        <f t="array" ref="D650">_xlfn.XLOOKUP(C650,customers[Customer ID],customers[Gender],"")</f>
        <v>Male</v>
      </c>
      <c r="E650" s="46" cm="1">
        <f t="array" ref="E650">_xlfn.XLOOKUP(C650,customers[Customer ID],customers[Age],"")</f>
        <v>36</v>
      </c>
      <c r="F650" s="46" t="str" cm="1">
        <f t="array" ref="F650">_xlfn.XLOOKUP(C650,customers[Customer ID],customers[City],"")</f>
        <v>Cincinnati</v>
      </c>
      <c r="G650">
        <v>58</v>
      </c>
      <c r="H650" s="47" t="s">
        <v>38</v>
      </c>
      <c r="I650" s="48">
        <v>45138</v>
      </c>
      <c r="J650">
        <v>38</v>
      </c>
      <c r="K650">
        <v>4.5</v>
      </c>
      <c r="L650">
        <f>IF(MONTH(calls[[#This Row],[Date of Call]])&lt;=6,YEAR(calls[[#This Row],[Date of Call]]),YEAR(calls[[#This Row],[Date of Call]])+1)</f>
        <v>2024</v>
      </c>
      <c r="M650" t="str">
        <f>TEXT(calls[[#This Row],[Date of Call]],"DDDD")</f>
        <v>Monday</v>
      </c>
      <c r="N650" t="str" cm="1">
        <f t="array" ref="N65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50">
        <f>ROUND(calls[[#This Row],[Satisfaction Rating]],0)</f>
        <v>5</v>
      </c>
      <c r="P650" s="53">
        <f t="shared" si="10"/>
        <v>307</v>
      </c>
    </row>
    <row r="651" spans="2:16">
      <c r="B651" t="s">
        <v>731</v>
      </c>
      <c r="C651" t="s">
        <v>69</v>
      </c>
      <c r="D651" s="46" t="str" cm="1">
        <f t="array" ref="D651">_xlfn.XLOOKUP(C651,customers[Customer ID],customers[Gender],"")</f>
        <v>Male</v>
      </c>
      <c r="E651" s="46" cm="1">
        <f t="array" ref="E651">_xlfn.XLOOKUP(C651,customers[Customer ID],customers[Age],"")</f>
        <v>41</v>
      </c>
      <c r="F651" s="46" t="str" cm="1">
        <f t="array" ref="F651">_xlfn.XLOOKUP(C651,customers[Customer ID],customers[City],"")</f>
        <v>Columbus</v>
      </c>
      <c r="G651">
        <v>33</v>
      </c>
      <c r="H651" s="47" t="s">
        <v>36</v>
      </c>
      <c r="I651" s="48">
        <v>45138</v>
      </c>
      <c r="J651">
        <v>92</v>
      </c>
      <c r="K651">
        <v>1.7</v>
      </c>
      <c r="L651">
        <f>IF(MONTH(calls[[#This Row],[Date of Call]])&lt;=6,YEAR(calls[[#This Row],[Date of Call]]),YEAR(calls[[#This Row],[Date of Call]])+1)</f>
        <v>2024</v>
      </c>
      <c r="M651" t="str">
        <f>TEXT(calls[[#This Row],[Date of Call]],"DDDD")</f>
        <v>Monday</v>
      </c>
      <c r="N651" t="str" cm="1">
        <f t="array" ref="N65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51">
        <f>ROUND(calls[[#This Row],[Satisfaction Rating]],0)</f>
        <v>2</v>
      </c>
      <c r="P651" s="53">
        <f t="shared" si="10"/>
        <v>307</v>
      </c>
    </row>
    <row r="652" spans="2:16">
      <c r="B652" t="s">
        <v>732</v>
      </c>
      <c r="C652" t="s">
        <v>65</v>
      </c>
      <c r="D652" s="46" t="str" cm="1">
        <f t="array" ref="D652">_xlfn.XLOOKUP(C652,customers[Customer ID],customers[Gender],"")</f>
        <v>Female</v>
      </c>
      <c r="E652" s="46" cm="1">
        <f t="array" ref="E652">_xlfn.XLOOKUP(C652,customers[Customer ID],customers[Age],"")</f>
        <v>42</v>
      </c>
      <c r="F652" s="46" t="str" cm="1">
        <f t="array" ref="F652">_xlfn.XLOOKUP(C652,customers[Customer ID],customers[City],"")</f>
        <v>Cleveland</v>
      </c>
      <c r="G652">
        <v>164</v>
      </c>
      <c r="H652" s="47" t="s">
        <v>40</v>
      </c>
      <c r="I652" s="48">
        <v>45138</v>
      </c>
      <c r="J652">
        <v>36</v>
      </c>
      <c r="K652">
        <v>4.7</v>
      </c>
      <c r="L652">
        <f>IF(MONTH(calls[[#This Row],[Date of Call]])&lt;=6,YEAR(calls[[#This Row],[Date of Call]]),YEAR(calls[[#This Row],[Date of Call]])+1)</f>
        <v>2024</v>
      </c>
      <c r="M652" t="str">
        <f>TEXT(calls[[#This Row],[Date of Call]],"DDDD")</f>
        <v>Monday</v>
      </c>
      <c r="N652" t="str" cm="1">
        <f t="array" ref="N65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52">
        <f>ROUND(calls[[#This Row],[Satisfaction Rating]],0)</f>
        <v>5</v>
      </c>
      <c r="P652" s="53">
        <f t="shared" si="10"/>
        <v>307</v>
      </c>
    </row>
    <row r="653" spans="2:16">
      <c r="B653" t="s">
        <v>733</v>
      </c>
      <c r="C653" t="s">
        <v>62</v>
      </c>
      <c r="D653" s="46" t="str" cm="1">
        <f t="array" ref="D653">_xlfn.XLOOKUP(C653,customers[Customer ID],customers[Gender],"")</f>
        <v>Female</v>
      </c>
      <c r="E653" s="46" cm="1">
        <f t="array" ref="E653">_xlfn.XLOOKUP(C653,customers[Customer ID],customers[Age],"")</f>
        <v>28</v>
      </c>
      <c r="F653" s="46" t="str" cm="1">
        <f t="array" ref="F653">_xlfn.XLOOKUP(C653,customers[Customer ID],customers[City],"")</f>
        <v>Cincinnati</v>
      </c>
      <c r="G653">
        <v>163</v>
      </c>
      <c r="H653" s="47" t="s">
        <v>37</v>
      </c>
      <c r="I653" s="48">
        <v>45138</v>
      </c>
      <c r="J653">
        <v>76</v>
      </c>
      <c r="K653">
        <v>4.4</v>
      </c>
      <c r="L653">
        <f>IF(MONTH(calls[[#This Row],[Date of Call]])&lt;=6,YEAR(calls[[#This Row],[Date of Call]]),YEAR(calls[[#This Row],[Date of Call]])+1)</f>
        <v>2024</v>
      </c>
      <c r="M653" t="str">
        <f>TEXT(calls[[#This Row],[Date of Call]],"DDDD")</f>
        <v>Monday</v>
      </c>
      <c r="N653" t="str" cm="1">
        <f t="array" ref="N65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53">
        <f>ROUND(calls[[#This Row],[Satisfaction Rating]],0)</f>
        <v>4</v>
      </c>
      <c r="P653" s="53">
        <f t="shared" si="10"/>
        <v>307</v>
      </c>
    </row>
    <row r="654" spans="2:16">
      <c r="B654" t="s">
        <v>734</v>
      </c>
      <c r="C654" t="s">
        <v>64</v>
      </c>
      <c r="D654" s="46" t="str" cm="1">
        <f t="array" ref="D654">_xlfn.XLOOKUP(C654,customers[Customer ID],customers[Gender],"")</f>
        <v>Female</v>
      </c>
      <c r="E654" s="46" cm="1">
        <f t="array" ref="E654">_xlfn.XLOOKUP(C654,customers[Customer ID],customers[Age],"")</f>
        <v>22</v>
      </c>
      <c r="F654" s="46" t="str" cm="1">
        <f t="array" ref="F654">_xlfn.XLOOKUP(C654,customers[Customer ID],customers[City],"")</f>
        <v>Cleveland</v>
      </c>
      <c r="G654">
        <v>71</v>
      </c>
      <c r="H654" s="47" t="s">
        <v>40</v>
      </c>
      <c r="I654" s="48">
        <v>45140</v>
      </c>
      <c r="J654">
        <v>170</v>
      </c>
      <c r="K654">
        <v>3.5</v>
      </c>
      <c r="L654">
        <f>IF(MONTH(calls[[#This Row],[Date of Call]])&lt;=6,YEAR(calls[[#This Row],[Date of Call]]),YEAR(calls[[#This Row],[Date of Call]])+1)</f>
        <v>2024</v>
      </c>
      <c r="M654" t="str">
        <f>TEXT(calls[[#This Row],[Date of Call]],"DDDD")</f>
        <v>Wednesday</v>
      </c>
      <c r="N654" t="str" cm="1">
        <f t="array" ref="N6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54">
        <f>ROUND(calls[[#This Row],[Satisfaction Rating]],0)</f>
        <v>4</v>
      </c>
      <c r="P654" s="53">
        <f t="shared" si="10"/>
        <v>307</v>
      </c>
    </row>
    <row r="655" spans="2:16">
      <c r="B655" t="s">
        <v>735</v>
      </c>
      <c r="C655" t="s">
        <v>69</v>
      </c>
      <c r="D655" s="46" t="str" cm="1">
        <f t="array" ref="D655">_xlfn.XLOOKUP(C655,customers[Customer ID],customers[Gender],"")</f>
        <v>Male</v>
      </c>
      <c r="E655" s="46" cm="1">
        <f t="array" ref="E655">_xlfn.XLOOKUP(C655,customers[Customer ID],customers[Age],"")</f>
        <v>41</v>
      </c>
      <c r="F655" s="46" t="str" cm="1">
        <f t="array" ref="F655">_xlfn.XLOOKUP(C655,customers[Customer ID],customers[City],"")</f>
        <v>Columbus</v>
      </c>
      <c r="G655">
        <v>103</v>
      </c>
      <c r="H655" s="47" t="s">
        <v>38</v>
      </c>
      <c r="I655" s="48">
        <v>45141</v>
      </c>
      <c r="J655">
        <v>117</v>
      </c>
      <c r="K655">
        <v>4.7</v>
      </c>
      <c r="L655">
        <f>IF(MONTH(calls[[#This Row],[Date of Call]])&lt;=6,YEAR(calls[[#This Row],[Date of Call]]),YEAR(calls[[#This Row],[Date of Call]])+1)</f>
        <v>2024</v>
      </c>
      <c r="M655" t="str">
        <f>TEXT(calls[[#This Row],[Date of Call]],"DDDD")</f>
        <v>Thursday</v>
      </c>
      <c r="N655" t="str" cm="1">
        <f t="array" ref="N6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55">
        <f>ROUND(calls[[#This Row],[Satisfaction Rating]],0)</f>
        <v>5</v>
      </c>
      <c r="P655" s="53">
        <f t="shared" si="10"/>
        <v>307</v>
      </c>
    </row>
    <row r="656" spans="2:16">
      <c r="B656" t="s">
        <v>736</v>
      </c>
      <c r="C656" t="s">
        <v>71</v>
      </c>
      <c r="D656" s="46" t="str" cm="1">
        <f t="array" ref="D656">_xlfn.XLOOKUP(C656,customers[Customer ID],customers[Gender],"")</f>
        <v>Male</v>
      </c>
      <c r="E656" s="46" cm="1">
        <f t="array" ref="E656">_xlfn.XLOOKUP(C656,customers[Customer ID],customers[Age],"")</f>
        <v>23</v>
      </c>
      <c r="F656" s="46" t="str" cm="1">
        <f t="array" ref="F656">_xlfn.XLOOKUP(C656,customers[Customer ID],customers[City],"")</f>
        <v>Columbus</v>
      </c>
      <c r="G656">
        <v>69</v>
      </c>
      <c r="H656" s="47" t="s">
        <v>37</v>
      </c>
      <c r="I656" s="48">
        <v>45141</v>
      </c>
      <c r="J656">
        <v>20</v>
      </c>
      <c r="K656">
        <v>4.3</v>
      </c>
      <c r="L656">
        <f>IF(MONTH(calls[[#This Row],[Date of Call]])&lt;=6,YEAR(calls[[#This Row],[Date of Call]]),YEAR(calls[[#This Row],[Date of Call]])+1)</f>
        <v>2024</v>
      </c>
      <c r="M656" t="str">
        <f>TEXT(calls[[#This Row],[Date of Call]],"DDDD")</f>
        <v>Thursday</v>
      </c>
      <c r="N656" t="str" cm="1">
        <f t="array" ref="N6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56">
        <f>ROUND(calls[[#This Row],[Satisfaction Rating]],0)</f>
        <v>4</v>
      </c>
      <c r="P656" s="53">
        <f t="shared" si="10"/>
        <v>307</v>
      </c>
    </row>
    <row r="657" spans="2:16">
      <c r="B657" t="s">
        <v>737</v>
      </c>
      <c r="C657" t="s">
        <v>62</v>
      </c>
      <c r="D657" s="46" t="str" cm="1">
        <f t="array" ref="D657">_xlfn.XLOOKUP(C657,customers[Customer ID],customers[Gender],"")</f>
        <v>Female</v>
      </c>
      <c r="E657" s="46" cm="1">
        <f t="array" ref="E657">_xlfn.XLOOKUP(C657,customers[Customer ID],customers[Age],"")</f>
        <v>28</v>
      </c>
      <c r="F657" s="46" t="str" cm="1">
        <f t="array" ref="F657">_xlfn.XLOOKUP(C657,customers[Customer ID],customers[City],"")</f>
        <v>Cincinnati</v>
      </c>
      <c r="G657">
        <v>111</v>
      </c>
      <c r="H657" s="47" t="s">
        <v>38</v>
      </c>
      <c r="I657" s="48">
        <v>45141</v>
      </c>
      <c r="J657">
        <v>99</v>
      </c>
      <c r="K657">
        <v>4.1</v>
      </c>
      <c r="L657">
        <f>IF(MONTH(calls[[#This Row],[Date of Call]])&lt;=6,YEAR(calls[[#This Row],[Date of Call]]),YEAR(calls[[#This Row],[Date of Call]])+1)</f>
        <v>2024</v>
      </c>
      <c r="M657" t="str">
        <f>TEXT(calls[[#This Row],[Date of Call]],"DDDD")</f>
        <v>Thursday</v>
      </c>
      <c r="N657" t="str" cm="1">
        <f t="array" ref="N65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57">
        <f>ROUND(calls[[#This Row],[Satisfaction Rating]],0)</f>
        <v>4</v>
      </c>
      <c r="P657" s="53">
        <f t="shared" si="10"/>
        <v>307</v>
      </c>
    </row>
    <row r="658" spans="2:16">
      <c r="B658" t="s">
        <v>738</v>
      </c>
      <c r="C658" t="s">
        <v>66</v>
      </c>
      <c r="D658" s="46" t="str" cm="1">
        <f t="array" ref="D658">_xlfn.XLOOKUP(C658,customers[Customer ID],customers[Gender],"")</f>
        <v>Female</v>
      </c>
      <c r="E658" s="46" cm="1">
        <f t="array" ref="E658">_xlfn.XLOOKUP(C658,customers[Customer ID],customers[Age],"")</f>
        <v>30</v>
      </c>
      <c r="F658" s="46" t="str" cm="1">
        <f t="array" ref="F658">_xlfn.XLOOKUP(C658,customers[Customer ID],customers[City],"")</f>
        <v>Cleveland</v>
      </c>
      <c r="G658">
        <v>97</v>
      </c>
      <c r="H658" s="47" t="s">
        <v>37</v>
      </c>
      <c r="I658" s="48">
        <v>45142</v>
      </c>
      <c r="J658">
        <v>105</v>
      </c>
      <c r="K658">
        <v>2.9</v>
      </c>
      <c r="L658">
        <f>IF(MONTH(calls[[#This Row],[Date of Call]])&lt;=6,YEAR(calls[[#This Row],[Date of Call]]),YEAR(calls[[#This Row],[Date of Call]])+1)</f>
        <v>2024</v>
      </c>
      <c r="M658" t="str">
        <f>TEXT(calls[[#This Row],[Date of Call]],"DDDD")</f>
        <v>Friday</v>
      </c>
      <c r="N658" t="str" cm="1">
        <f t="array" ref="N6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58">
        <f>ROUND(calls[[#This Row],[Satisfaction Rating]],0)</f>
        <v>3</v>
      </c>
      <c r="P658" s="53">
        <f t="shared" si="10"/>
        <v>307</v>
      </c>
    </row>
    <row r="659" spans="2:16">
      <c r="B659" t="s">
        <v>739</v>
      </c>
      <c r="C659" t="s">
        <v>67</v>
      </c>
      <c r="D659" s="46" t="str" cm="1">
        <f t="array" ref="D659">_xlfn.XLOOKUP(C659,customers[Customer ID],customers[Gender],"")</f>
        <v>Female</v>
      </c>
      <c r="E659" s="46" cm="1">
        <f t="array" ref="E659">_xlfn.XLOOKUP(C659,customers[Customer ID],customers[Age],"")</f>
        <v>37</v>
      </c>
      <c r="F659" s="46" t="str" cm="1">
        <f t="array" ref="F659">_xlfn.XLOOKUP(C659,customers[Customer ID],customers[City],"")</f>
        <v>Cleveland</v>
      </c>
      <c r="G659">
        <v>144</v>
      </c>
      <c r="H659" s="47" t="s">
        <v>39</v>
      </c>
      <c r="I659" s="48">
        <v>45142</v>
      </c>
      <c r="J659">
        <v>195</v>
      </c>
      <c r="K659">
        <v>3.4</v>
      </c>
      <c r="L659">
        <f>IF(MONTH(calls[[#This Row],[Date of Call]])&lt;=6,YEAR(calls[[#This Row],[Date of Call]]),YEAR(calls[[#This Row],[Date of Call]])+1)</f>
        <v>2024</v>
      </c>
      <c r="M659" t="str">
        <f>TEXT(calls[[#This Row],[Date of Call]],"DDDD")</f>
        <v>Friday</v>
      </c>
      <c r="N659" t="str" cm="1">
        <f t="array" ref="N65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59">
        <f>ROUND(calls[[#This Row],[Satisfaction Rating]],0)</f>
        <v>3</v>
      </c>
      <c r="P659" s="53">
        <f t="shared" si="10"/>
        <v>307</v>
      </c>
    </row>
    <row r="660" spans="2:16">
      <c r="B660" t="s">
        <v>740</v>
      </c>
      <c r="C660" t="s">
        <v>70</v>
      </c>
      <c r="D660" s="46" t="str" cm="1">
        <f t="array" ref="D660">_xlfn.XLOOKUP(C660,customers[Customer ID],customers[Gender],"")</f>
        <v>Male</v>
      </c>
      <c r="E660" s="46" cm="1">
        <f t="array" ref="E660">_xlfn.XLOOKUP(C660,customers[Customer ID],customers[Age],"")</f>
        <v>37</v>
      </c>
      <c r="F660" s="46" t="str" cm="1">
        <f t="array" ref="F660">_xlfn.XLOOKUP(C660,customers[Customer ID],customers[City],"")</f>
        <v>Columbus</v>
      </c>
      <c r="G660">
        <v>56</v>
      </c>
      <c r="H660" s="47" t="s">
        <v>37</v>
      </c>
      <c r="I660" s="48">
        <v>45143</v>
      </c>
      <c r="J660">
        <v>152</v>
      </c>
      <c r="K660">
        <v>4.6</v>
      </c>
      <c r="L660">
        <f>IF(MONTH(calls[[#This Row],[Date of Call]])&lt;=6,YEAR(calls[[#This Row],[Date of Call]]),YEAR(calls[[#This Row],[Date of Call]])+1)</f>
        <v>2024</v>
      </c>
      <c r="M660" t="str">
        <f>TEXT(calls[[#This Row],[Date of Call]],"DDDD")</f>
        <v>Saturday</v>
      </c>
      <c r="N660" t="str" cm="1">
        <f t="array" ref="N66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60">
        <f>ROUND(calls[[#This Row],[Satisfaction Rating]],0)</f>
        <v>5</v>
      </c>
      <c r="P660" s="53">
        <f t="shared" si="10"/>
        <v>307</v>
      </c>
    </row>
    <row r="661" spans="2:16">
      <c r="B661" t="s">
        <v>741</v>
      </c>
      <c r="C661" t="s">
        <v>67</v>
      </c>
      <c r="D661" s="46" t="str" cm="1">
        <f t="array" ref="D661">_xlfn.XLOOKUP(C661,customers[Customer ID],customers[Gender],"")</f>
        <v>Female</v>
      </c>
      <c r="E661" s="46" cm="1">
        <f t="array" ref="E661">_xlfn.XLOOKUP(C661,customers[Customer ID],customers[Age],"")</f>
        <v>37</v>
      </c>
      <c r="F661" s="46" t="str" cm="1">
        <f t="array" ref="F661">_xlfn.XLOOKUP(C661,customers[Customer ID],customers[City],"")</f>
        <v>Cleveland</v>
      </c>
      <c r="G661">
        <v>132</v>
      </c>
      <c r="H661" s="47" t="s">
        <v>39</v>
      </c>
      <c r="I661" s="48">
        <v>45144</v>
      </c>
      <c r="J661">
        <v>195</v>
      </c>
      <c r="K661">
        <v>4.9</v>
      </c>
      <c r="L661">
        <f>IF(MONTH(calls[[#This Row],[Date of Call]])&lt;=6,YEAR(calls[[#This Row],[Date of Call]]),YEAR(calls[[#This Row],[Date of Call]])+1)</f>
        <v>2024</v>
      </c>
      <c r="M661" t="str">
        <f>TEXT(calls[[#This Row],[Date of Call]],"DDDD")</f>
        <v>Sunday</v>
      </c>
      <c r="N661" t="str" cm="1">
        <f t="array" ref="N66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61">
        <f>ROUND(calls[[#This Row],[Satisfaction Rating]],0)</f>
        <v>5</v>
      </c>
      <c r="P661" s="53">
        <f t="shared" si="10"/>
        <v>307</v>
      </c>
    </row>
    <row r="662" spans="2:16">
      <c r="B662" t="s">
        <v>742</v>
      </c>
      <c r="C662" t="s">
        <v>64</v>
      </c>
      <c r="D662" s="46" t="str" cm="1">
        <f t="array" ref="D662">_xlfn.XLOOKUP(C662,customers[Customer ID],customers[Gender],"")</f>
        <v>Female</v>
      </c>
      <c r="E662" s="46" cm="1">
        <f t="array" ref="E662">_xlfn.XLOOKUP(C662,customers[Customer ID],customers[Age],"")</f>
        <v>22</v>
      </c>
      <c r="F662" s="46" t="str" cm="1">
        <f t="array" ref="F662">_xlfn.XLOOKUP(C662,customers[Customer ID],customers[City],"")</f>
        <v>Cleveland</v>
      </c>
      <c r="G662">
        <v>72</v>
      </c>
      <c r="H662" s="47" t="s">
        <v>36</v>
      </c>
      <c r="I662" s="48">
        <v>45144</v>
      </c>
      <c r="J662">
        <v>70</v>
      </c>
      <c r="K662">
        <v>3.6</v>
      </c>
      <c r="L662">
        <f>IF(MONTH(calls[[#This Row],[Date of Call]])&lt;=6,YEAR(calls[[#This Row],[Date of Call]]),YEAR(calls[[#This Row],[Date of Call]])+1)</f>
        <v>2024</v>
      </c>
      <c r="M662" t="str">
        <f>TEXT(calls[[#This Row],[Date of Call]],"DDDD")</f>
        <v>Sunday</v>
      </c>
      <c r="N662" t="str" cm="1">
        <f t="array" ref="N6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62">
        <f>ROUND(calls[[#This Row],[Satisfaction Rating]],0)</f>
        <v>4</v>
      </c>
      <c r="P662" s="53">
        <f t="shared" si="10"/>
        <v>307</v>
      </c>
    </row>
    <row r="663" spans="2:16">
      <c r="B663" t="s">
        <v>743</v>
      </c>
      <c r="C663" t="s">
        <v>62</v>
      </c>
      <c r="D663" s="46" t="str" cm="1">
        <f t="array" ref="D663">_xlfn.XLOOKUP(C663,customers[Customer ID],customers[Gender],"")</f>
        <v>Female</v>
      </c>
      <c r="E663" s="46" cm="1">
        <f t="array" ref="E663">_xlfn.XLOOKUP(C663,customers[Customer ID],customers[Age],"")</f>
        <v>28</v>
      </c>
      <c r="F663" s="46" t="str" cm="1">
        <f t="array" ref="F663">_xlfn.XLOOKUP(C663,customers[Customer ID],customers[City],"")</f>
        <v>Cincinnati</v>
      </c>
      <c r="G663">
        <v>18</v>
      </c>
      <c r="H663" s="47" t="s">
        <v>36</v>
      </c>
      <c r="I663" s="48">
        <v>45144</v>
      </c>
      <c r="J663">
        <v>22</v>
      </c>
      <c r="K663">
        <v>3.5</v>
      </c>
      <c r="L663">
        <f>IF(MONTH(calls[[#This Row],[Date of Call]])&lt;=6,YEAR(calls[[#This Row],[Date of Call]]),YEAR(calls[[#This Row],[Date of Call]])+1)</f>
        <v>2024</v>
      </c>
      <c r="M663" t="str">
        <f>TEXT(calls[[#This Row],[Date of Call]],"DDDD")</f>
        <v>Sunday</v>
      </c>
      <c r="N663" t="str" cm="1">
        <f t="array" ref="N66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663">
        <f>ROUND(calls[[#This Row],[Satisfaction Rating]],0)</f>
        <v>4</v>
      </c>
      <c r="P663" s="53">
        <f t="shared" si="10"/>
        <v>307</v>
      </c>
    </row>
    <row r="664" spans="2:16">
      <c r="B664" t="s">
        <v>744</v>
      </c>
      <c r="C664" t="s">
        <v>61</v>
      </c>
      <c r="D664" s="46" t="str" cm="1">
        <f t="array" ref="D664">_xlfn.XLOOKUP(C664,customers[Customer ID],customers[Gender],"")</f>
        <v>Female</v>
      </c>
      <c r="E664" s="46" cm="1">
        <f t="array" ref="E664">_xlfn.XLOOKUP(C664,customers[Customer ID],customers[Age],"")</f>
        <v>30</v>
      </c>
      <c r="F664" s="46" t="str" cm="1">
        <f t="array" ref="F664">_xlfn.XLOOKUP(C664,customers[Customer ID],customers[City],"")</f>
        <v>Cincinnati</v>
      </c>
      <c r="G664">
        <v>115</v>
      </c>
      <c r="H664" s="47" t="s">
        <v>38</v>
      </c>
      <c r="I664" s="48">
        <v>45145</v>
      </c>
      <c r="J664">
        <v>40</v>
      </c>
      <c r="K664">
        <v>3.3</v>
      </c>
      <c r="L664">
        <f>IF(MONTH(calls[[#This Row],[Date of Call]])&lt;=6,YEAR(calls[[#This Row],[Date of Call]]),YEAR(calls[[#This Row],[Date of Call]])+1)</f>
        <v>2024</v>
      </c>
      <c r="M664" t="str">
        <f>TEXT(calls[[#This Row],[Date of Call]],"DDDD")</f>
        <v>Monday</v>
      </c>
      <c r="N664" t="str" cm="1">
        <f t="array" ref="N6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64">
        <f>ROUND(calls[[#This Row],[Satisfaction Rating]],0)</f>
        <v>3</v>
      </c>
      <c r="P664" s="53">
        <f t="shared" si="10"/>
        <v>307</v>
      </c>
    </row>
    <row r="665" spans="2:16">
      <c r="B665" t="s">
        <v>745</v>
      </c>
      <c r="C665" t="s">
        <v>61</v>
      </c>
      <c r="D665" s="46" t="str" cm="1">
        <f t="array" ref="D665">_xlfn.XLOOKUP(C665,customers[Customer ID],customers[Gender],"")</f>
        <v>Female</v>
      </c>
      <c r="E665" s="46" cm="1">
        <f t="array" ref="E665">_xlfn.XLOOKUP(C665,customers[Customer ID],customers[Age],"")</f>
        <v>30</v>
      </c>
      <c r="F665" s="46" t="str" cm="1">
        <f t="array" ref="F665">_xlfn.XLOOKUP(C665,customers[Customer ID],customers[City],"")</f>
        <v>Cincinnati</v>
      </c>
      <c r="G665">
        <v>124</v>
      </c>
      <c r="H665" s="47" t="s">
        <v>37</v>
      </c>
      <c r="I665" s="48">
        <v>45146</v>
      </c>
      <c r="J665">
        <v>54</v>
      </c>
      <c r="K665">
        <v>3.8</v>
      </c>
      <c r="L665">
        <f>IF(MONTH(calls[[#This Row],[Date of Call]])&lt;=6,YEAR(calls[[#This Row],[Date of Call]]),YEAR(calls[[#This Row],[Date of Call]])+1)</f>
        <v>2024</v>
      </c>
      <c r="M665" t="str">
        <f>TEXT(calls[[#This Row],[Date of Call]],"DDDD")</f>
        <v>Tuesday</v>
      </c>
      <c r="N665" t="str" cm="1">
        <f t="array" ref="N66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65">
        <f>ROUND(calls[[#This Row],[Satisfaction Rating]],0)</f>
        <v>4</v>
      </c>
      <c r="P665" s="53">
        <f t="shared" si="10"/>
        <v>307</v>
      </c>
    </row>
    <row r="666" spans="2:16">
      <c r="B666" t="s">
        <v>746</v>
      </c>
      <c r="C666" t="s">
        <v>60</v>
      </c>
      <c r="D666" s="46" t="str" cm="1">
        <f t="array" ref="D666">_xlfn.XLOOKUP(C666,customers[Customer ID],customers[Gender],"")</f>
        <v>Male</v>
      </c>
      <c r="E666" s="46" cm="1">
        <f t="array" ref="E666">_xlfn.XLOOKUP(C666,customers[Customer ID],customers[Age],"")</f>
        <v>36</v>
      </c>
      <c r="F666" s="46" t="str" cm="1">
        <f t="array" ref="F666">_xlfn.XLOOKUP(C666,customers[Customer ID],customers[City],"")</f>
        <v>Cincinnati</v>
      </c>
      <c r="G666">
        <v>130</v>
      </c>
      <c r="H666" s="47" t="s">
        <v>37</v>
      </c>
      <c r="I666" s="48">
        <v>45146</v>
      </c>
      <c r="J666">
        <v>60</v>
      </c>
      <c r="K666">
        <v>2.5</v>
      </c>
      <c r="L666">
        <f>IF(MONTH(calls[[#This Row],[Date of Call]])&lt;=6,YEAR(calls[[#This Row],[Date of Call]]),YEAR(calls[[#This Row],[Date of Call]])+1)</f>
        <v>2024</v>
      </c>
      <c r="M666" t="str">
        <f>TEXT(calls[[#This Row],[Date of Call]],"DDDD")</f>
        <v>Tuesday</v>
      </c>
      <c r="N666" t="str" cm="1">
        <f t="array" ref="N66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66">
        <f>ROUND(calls[[#This Row],[Satisfaction Rating]],0)</f>
        <v>3</v>
      </c>
      <c r="P666" s="53">
        <f t="shared" si="10"/>
        <v>307</v>
      </c>
    </row>
    <row r="667" spans="2:16">
      <c r="B667" t="s">
        <v>747</v>
      </c>
      <c r="C667" t="s">
        <v>68</v>
      </c>
      <c r="D667" s="46" t="str" cm="1">
        <f t="array" ref="D667">_xlfn.XLOOKUP(C667,customers[Customer ID],customers[Gender],"")</f>
        <v>Female</v>
      </c>
      <c r="E667" s="46" cm="1">
        <f t="array" ref="E667">_xlfn.XLOOKUP(C667,customers[Customer ID],customers[Age],"")</f>
        <v>43</v>
      </c>
      <c r="F667" s="46" t="str" cm="1">
        <f t="array" ref="F667">_xlfn.XLOOKUP(C667,customers[Customer ID],customers[City],"")</f>
        <v>Cleveland</v>
      </c>
      <c r="G667">
        <v>120</v>
      </c>
      <c r="H667" s="47" t="s">
        <v>40</v>
      </c>
      <c r="I667" s="48">
        <v>45148</v>
      </c>
      <c r="J667">
        <v>58</v>
      </c>
      <c r="K667">
        <v>4.6</v>
      </c>
      <c r="L667">
        <f>IF(MONTH(calls[[#This Row],[Date of Call]])&lt;=6,YEAR(calls[[#This Row],[Date of Call]]),YEAR(calls[[#This Row],[Date of Call]])+1)</f>
        <v>2024</v>
      </c>
      <c r="M667" t="str">
        <f>TEXT(calls[[#This Row],[Date of Call]],"DDDD")</f>
        <v>Thursday</v>
      </c>
      <c r="N667" t="str" cm="1">
        <f t="array" ref="N6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67">
        <f>ROUND(calls[[#This Row],[Satisfaction Rating]],0)</f>
        <v>5</v>
      </c>
      <c r="P667" s="53">
        <f t="shared" si="10"/>
        <v>307</v>
      </c>
    </row>
    <row r="668" spans="2:16">
      <c r="B668" t="s">
        <v>748</v>
      </c>
      <c r="C668" t="s">
        <v>66</v>
      </c>
      <c r="D668" s="46" t="str" cm="1">
        <f t="array" ref="D668">_xlfn.XLOOKUP(C668,customers[Customer ID],customers[Gender],"")</f>
        <v>Female</v>
      </c>
      <c r="E668" s="46" cm="1">
        <f t="array" ref="E668">_xlfn.XLOOKUP(C668,customers[Customer ID],customers[Age],"")</f>
        <v>30</v>
      </c>
      <c r="F668" s="46" t="str" cm="1">
        <f t="array" ref="F668">_xlfn.XLOOKUP(C668,customers[Customer ID],customers[City],"")</f>
        <v>Cleveland</v>
      </c>
      <c r="G668">
        <v>75</v>
      </c>
      <c r="H668" s="47" t="s">
        <v>38</v>
      </c>
      <c r="I668" s="48">
        <v>45148</v>
      </c>
      <c r="J668">
        <v>220</v>
      </c>
      <c r="K668">
        <v>4.7</v>
      </c>
      <c r="L668">
        <f>IF(MONTH(calls[[#This Row],[Date of Call]])&lt;=6,YEAR(calls[[#This Row],[Date of Call]]),YEAR(calls[[#This Row],[Date of Call]])+1)</f>
        <v>2024</v>
      </c>
      <c r="M668" t="str">
        <f>TEXT(calls[[#This Row],[Date of Call]],"DDDD")</f>
        <v>Thursday</v>
      </c>
      <c r="N668" t="str" cm="1">
        <f t="array" ref="N66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68">
        <f>ROUND(calls[[#This Row],[Satisfaction Rating]],0)</f>
        <v>5</v>
      </c>
      <c r="P668" s="53">
        <f t="shared" si="10"/>
        <v>307</v>
      </c>
    </row>
    <row r="669" spans="2:16">
      <c r="B669" t="s">
        <v>749</v>
      </c>
      <c r="C669" t="s">
        <v>59</v>
      </c>
      <c r="D669" s="46" t="str" cm="1">
        <f t="array" ref="D669">_xlfn.XLOOKUP(C669,customers[Customer ID],customers[Gender],"")</f>
        <v>Male</v>
      </c>
      <c r="E669" s="46" cm="1">
        <f t="array" ref="E669">_xlfn.XLOOKUP(C669,customers[Customer ID],customers[Age],"")</f>
        <v>26</v>
      </c>
      <c r="F669" s="46" t="str" cm="1">
        <f t="array" ref="F669">_xlfn.XLOOKUP(C669,customers[Customer ID],customers[City],"")</f>
        <v>Cincinnati</v>
      </c>
      <c r="G669">
        <v>63</v>
      </c>
      <c r="H669" s="47" t="s">
        <v>38</v>
      </c>
      <c r="I669" s="48">
        <v>45148</v>
      </c>
      <c r="J669">
        <v>27</v>
      </c>
      <c r="K669">
        <v>3.6</v>
      </c>
      <c r="L669">
        <f>IF(MONTH(calls[[#This Row],[Date of Call]])&lt;=6,YEAR(calls[[#This Row],[Date of Call]]),YEAR(calls[[#This Row],[Date of Call]])+1)</f>
        <v>2024</v>
      </c>
      <c r="M669" t="str">
        <f>TEXT(calls[[#This Row],[Date of Call]],"DDDD")</f>
        <v>Thursday</v>
      </c>
      <c r="N669" t="str" cm="1">
        <f t="array" ref="N66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69">
        <f>ROUND(calls[[#This Row],[Satisfaction Rating]],0)</f>
        <v>4</v>
      </c>
      <c r="P669" s="53">
        <f t="shared" si="10"/>
        <v>307</v>
      </c>
    </row>
    <row r="670" spans="2:16">
      <c r="B670" t="s">
        <v>750</v>
      </c>
      <c r="C670" t="s">
        <v>67</v>
      </c>
      <c r="D670" s="46" t="str" cm="1">
        <f t="array" ref="D670">_xlfn.XLOOKUP(C670,customers[Customer ID],customers[Gender],"")</f>
        <v>Female</v>
      </c>
      <c r="E670" s="46" cm="1">
        <f t="array" ref="E670">_xlfn.XLOOKUP(C670,customers[Customer ID],customers[Age],"")</f>
        <v>37</v>
      </c>
      <c r="F670" s="46" t="str" cm="1">
        <f t="array" ref="F670">_xlfn.XLOOKUP(C670,customers[Customer ID],customers[City],"")</f>
        <v>Cleveland</v>
      </c>
      <c r="G670">
        <v>74</v>
      </c>
      <c r="H670" s="47" t="s">
        <v>38</v>
      </c>
      <c r="I670" s="48">
        <v>45150</v>
      </c>
      <c r="J670">
        <v>26</v>
      </c>
      <c r="K670">
        <v>4.3</v>
      </c>
      <c r="L670">
        <f>IF(MONTH(calls[[#This Row],[Date of Call]])&lt;=6,YEAR(calls[[#This Row],[Date of Call]]),YEAR(calls[[#This Row],[Date of Call]])+1)</f>
        <v>2024</v>
      </c>
      <c r="M670" t="str">
        <f>TEXT(calls[[#This Row],[Date of Call]],"DDDD")</f>
        <v>Saturday</v>
      </c>
      <c r="N670" t="str" cm="1">
        <f t="array" ref="N6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70">
        <f>ROUND(calls[[#This Row],[Satisfaction Rating]],0)</f>
        <v>4</v>
      </c>
      <c r="P670" s="53">
        <f t="shared" si="10"/>
        <v>307</v>
      </c>
    </row>
    <row r="671" spans="2:16">
      <c r="B671" t="s">
        <v>751</v>
      </c>
      <c r="C671" t="s">
        <v>71</v>
      </c>
      <c r="D671" s="46" t="str" cm="1">
        <f t="array" ref="D671">_xlfn.XLOOKUP(C671,customers[Customer ID],customers[Gender],"")</f>
        <v>Male</v>
      </c>
      <c r="E671" s="46" cm="1">
        <f t="array" ref="E671">_xlfn.XLOOKUP(C671,customers[Customer ID],customers[Age],"")</f>
        <v>23</v>
      </c>
      <c r="F671" s="46" t="str" cm="1">
        <f t="array" ref="F671">_xlfn.XLOOKUP(C671,customers[Customer ID],customers[City],"")</f>
        <v>Columbus</v>
      </c>
      <c r="G671">
        <v>134</v>
      </c>
      <c r="H671" s="47" t="s">
        <v>39</v>
      </c>
      <c r="I671" s="48">
        <v>45151</v>
      </c>
      <c r="J671">
        <v>160</v>
      </c>
      <c r="K671">
        <v>4.7</v>
      </c>
      <c r="L671">
        <f>IF(MONTH(calls[[#This Row],[Date of Call]])&lt;=6,YEAR(calls[[#This Row],[Date of Call]]),YEAR(calls[[#This Row],[Date of Call]])+1)</f>
        <v>2024</v>
      </c>
      <c r="M671" t="str">
        <f>TEXT(calls[[#This Row],[Date of Call]],"DDDD")</f>
        <v>Sunday</v>
      </c>
      <c r="N671" t="str" cm="1">
        <f t="array" ref="N67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71">
        <f>ROUND(calls[[#This Row],[Satisfaction Rating]],0)</f>
        <v>5</v>
      </c>
      <c r="P671" s="53">
        <f t="shared" si="10"/>
        <v>307</v>
      </c>
    </row>
    <row r="672" spans="2:16">
      <c r="B672" t="s">
        <v>752</v>
      </c>
      <c r="C672" t="s">
        <v>62</v>
      </c>
      <c r="D672" s="46" t="str" cm="1">
        <f t="array" ref="D672">_xlfn.XLOOKUP(C672,customers[Customer ID],customers[Gender],"")</f>
        <v>Female</v>
      </c>
      <c r="E672" s="46" cm="1">
        <f t="array" ref="E672">_xlfn.XLOOKUP(C672,customers[Customer ID],customers[Age],"")</f>
        <v>28</v>
      </c>
      <c r="F672" s="46" t="str" cm="1">
        <f t="array" ref="F672">_xlfn.XLOOKUP(C672,customers[Customer ID],customers[City],"")</f>
        <v>Cincinnati</v>
      </c>
      <c r="G672">
        <v>103</v>
      </c>
      <c r="H672" s="47" t="s">
        <v>37</v>
      </c>
      <c r="I672" s="48">
        <v>45151</v>
      </c>
      <c r="J672">
        <v>200</v>
      </c>
      <c r="K672">
        <v>4.9</v>
      </c>
      <c r="L672">
        <f>IF(MONTH(calls[[#This Row],[Date of Call]])&lt;=6,YEAR(calls[[#This Row],[Date of Call]]),YEAR(calls[[#This Row],[Date of Call]])+1)</f>
        <v>2024</v>
      </c>
      <c r="M672" t="str">
        <f>TEXT(calls[[#This Row],[Date of Call]],"DDDD")</f>
        <v>Sunday</v>
      </c>
      <c r="N672" t="str" cm="1">
        <f t="array" ref="N6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72">
        <f>ROUND(calls[[#This Row],[Satisfaction Rating]],0)</f>
        <v>5</v>
      </c>
      <c r="P672" s="53">
        <f t="shared" si="10"/>
        <v>307</v>
      </c>
    </row>
    <row r="673" spans="2:16">
      <c r="B673" t="s">
        <v>753</v>
      </c>
      <c r="C673" t="s">
        <v>62</v>
      </c>
      <c r="D673" s="46" t="str" cm="1">
        <f t="array" ref="D673">_xlfn.XLOOKUP(C673,customers[Customer ID],customers[Gender],"")</f>
        <v>Female</v>
      </c>
      <c r="E673" s="46" cm="1">
        <f t="array" ref="E673">_xlfn.XLOOKUP(C673,customers[Customer ID],customers[Age],"")</f>
        <v>28</v>
      </c>
      <c r="F673" s="46" t="str" cm="1">
        <f t="array" ref="F673">_xlfn.XLOOKUP(C673,customers[Customer ID],customers[City],"")</f>
        <v>Cincinnati</v>
      </c>
      <c r="G673">
        <v>155</v>
      </c>
      <c r="H673" s="47" t="s">
        <v>40</v>
      </c>
      <c r="I673" s="48">
        <v>45154</v>
      </c>
      <c r="J673">
        <v>135</v>
      </c>
      <c r="K673">
        <v>4.9</v>
      </c>
      <c r="L673">
        <f>IF(MONTH(calls[[#This Row],[Date of Call]])&lt;=6,YEAR(calls[[#This Row],[Date of Call]]),YEAR(calls[[#This Row],[Date of Call]])+1)</f>
        <v>2024</v>
      </c>
      <c r="M673" t="str">
        <f>TEXT(calls[[#This Row],[Date of Call]],"DDDD")</f>
        <v>Wednesday</v>
      </c>
      <c r="N673" t="str" cm="1">
        <f t="array" ref="N67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73">
        <f>ROUND(calls[[#This Row],[Satisfaction Rating]],0)</f>
        <v>5</v>
      </c>
      <c r="P673" s="53">
        <f t="shared" si="10"/>
        <v>307</v>
      </c>
    </row>
    <row r="674" spans="2:16">
      <c r="B674" t="s">
        <v>754</v>
      </c>
      <c r="C674" t="s">
        <v>59</v>
      </c>
      <c r="D674" s="46" t="str" cm="1">
        <f t="array" ref="D674">_xlfn.XLOOKUP(C674,customers[Customer ID],customers[Gender],"")</f>
        <v>Male</v>
      </c>
      <c r="E674" s="46" cm="1">
        <f t="array" ref="E674">_xlfn.XLOOKUP(C674,customers[Customer ID],customers[Age],"")</f>
        <v>26</v>
      </c>
      <c r="F674" s="46" t="str" cm="1">
        <f t="array" ref="F674">_xlfn.XLOOKUP(C674,customers[Customer ID],customers[City],"")</f>
        <v>Cincinnati</v>
      </c>
      <c r="G674">
        <v>128</v>
      </c>
      <c r="H674" s="47" t="s">
        <v>37</v>
      </c>
      <c r="I674" s="48">
        <v>45155</v>
      </c>
      <c r="J674">
        <v>22</v>
      </c>
      <c r="K674">
        <v>1.9</v>
      </c>
      <c r="L674">
        <f>IF(MONTH(calls[[#This Row],[Date of Call]])&lt;=6,YEAR(calls[[#This Row],[Date of Call]]),YEAR(calls[[#This Row],[Date of Call]])+1)</f>
        <v>2024</v>
      </c>
      <c r="M674" t="str">
        <f>TEXT(calls[[#This Row],[Date of Call]],"DDDD")</f>
        <v>Thursday</v>
      </c>
      <c r="N674" t="str" cm="1">
        <f t="array" ref="N67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74">
        <f>ROUND(calls[[#This Row],[Satisfaction Rating]],0)</f>
        <v>2</v>
      </c>
      <c r="P674" s="53">
        <f t="shared" si="10"/>
        <v>307</v>
      </c>
    </row>
    <row r="675" spans="2:16">
      <c r="B675" t="s">
        <v>755</v>
      </c>
      <c r="C675" t="s">
        <v>66</v>
      </c>
      <c r="D675" s="46" t="str" cm="1">
        <f t="array" ref="D675">_xlfn.XLOOKUP(C675,customers[Customer ID],customers[Gender],"")</f>
        <v>Female</v>
      </c>
      <c r="E675" s="46" cm="1">
        <f t="array" ref="E675">_xlfn.XLOOKUP(C675,customers[Customer ID],customers[Age],"")</f>
        <v>30</v>
      </c>
      <c r="F675" s="46" t="str" cm="1">
        <f t="array" ref="F675">_xlfn.XLOOKUP(C675,customers[Customer ID],customers[City],"")</f>
        <v>Cleveland</v>
      </c>
      <c r="G675">
        <v>89</v>
      </c>
      <c r="H675" s="47" t="s">
        <v>39</v>
      </c>
      <c r="I675" s="48">
        <v>45156</v>
      </c>
      <c r="J675">
        <v>164</v>
      </c>
      <c r="K675">
        <v>4.5</v>
      </c>
      <c r="L675">
        <f>IF(MONTH(calls[[#This Row],[Date of Call]])&lt;=6,YEAR(calls[[#This Row],[Date of Call]]),YEAR(calls[[#This Row],[Date of Call]])+1)</f>
        <v>2024</v>
      </c>
      <c r="M675" t="str">
        <f>TEXT(calls[[#This Row],[Date of Call]],"DDDD")</f>
        <v>Friday</v>
      </c>
      <c r="N675" t="str" cm="1">
        <f t="array" ref="N67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75">
        <f>ROUND(calls[[#This Row],[Satisfaction Rating]],0)</f>
        <v>5</v>
      </c>
      <c r="P675" s="53">
        <f t="shared" si="10"/>
        <v>307</v>
      </c>
    </row>
    <row r="676" spans="2:16">
      <c r="B676" t="s">
        <v>756</v>
      </c>
      <c r="C676" t="s">
        <v>61</v>
      </c>
      <c r="D676" s="46" t="str" cm="1">
        <f t="array" ref="D676">_xlfn.XLOOKUP(C676,customers[Customer ID],customers[Gender],"")</f>
        <v>Female</v>
      </c>
      <c r="E676" s="46" cm="1">
        <f t="array" ref="E676">_xlfn.XLOOKUP(C676,customers[Customer ID],customers[Age],"")</f>
        <v>30</v>
      </c>
      <c r="F676" s="46" t="str" cm="1">
        <f t="array" ref="F676">_xlfn.XLOOKUP(C676,customers[Customer ID],customers[City],"")</f>
        <v>Cincinnati</v>
      </c>
      <c r="G676">
        <v>81</v>
      </c>
      <c r="H676" s="47" t="s">
        <v>40</v>
      </c>
      <c r="I676" s="48">
        <v>45156</v>
      </c>
      <c r="J676">
        <v>21</v>
      </c>
      <c r="K676">
        <v>4.9</v>
      </c>
      <c r="L676">
        <f>IF(MONTH(calls[[#This Row],[Date of Call]])&lt;=6,YEAR(calls[[#This Row],[Date of Call]]),YEAR(calls[[#This Row],[Date of Call]])+1)</f>
        <v>2024</v>
      </c>
      <c r="M676" t="str">
        <f>TEXT(calls[[#This Row],[Date of Call]],"DDDD")</f>
        <v>Friday</v>
      </c>
      <c r="N676" t="str" cm="1">
        <f t="array" ref="N67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76">
        <f>ROUND(calls[[#This Row],[Satisfaction Rating]],0)</f>
        <v>5</v>
      </c>
      <c r="P676" s="53">
        <f t="shared" si="10"/>
        <v>307</v>
      </c>
    </row>
    <row r="677" spans="2:16">
      <c r="B677" t="s">
        <v>757</v>
      </c>
      <c r="C677" t="s">
        <v>66</v>
      </c>
      <c r="D677" s="46" t="str" cm="1">
        <f t="array" ref="D677">_xlfn.XLOOKUP(C677,customers[Customer ID],customers[Gender],"")</f>
        <v>Female</v>
      </c>
      <c r="E677" s="46" cm="1">
        <f t="array" ref="E677">_xlfn.XLOOKUP(C677,customers[Customer ID],customers[Age],"")</f>
        <v>30</v>
      </c>
      <c r="F677" s="46" t="str" cm="1">
        <f t="array" ref="F677">_xlfn.XLOOKUP(C677,customers[Customer ID],customers[City],"")</f>
        <v>Cleveland</v>
      </c>
      <c r="G677">
        <v>66</v>
      </c>
      <c r="H677" s="47" t="s">
        <v>39</v>
      </c>
      <c r="I677" s="48">
        <v>45157</v>
      </c>
      <c r="J677">
        <v>120</v>
      </c>
      <c r="K677">
        <v>4.5</v>
      </c>
      <c r="L677">
        <f>IF(MONTH(calls[[#This Row],[Date of Call]])&lt;=6,YEAR(calls[[#This Row],[Date of Call]]),YEAR(calls[[#This Row],[Date of Call]])+1)</f>
        <v>2024</v>
      </c>
      <c r="M677" t="str">
        <f>TEXT(calls[[#This Row],[Date of Call]],"DDDD")</f>
        <v>Saturday</v>
      </c>
      <c r="N677" t="str" cm="1">
        <f t="array" ref="N67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77">
        <f>ROUND(calls[[#This Row],[Satisfaction Rating]],0)</f>
        <v>5</v>
      </c>
      <c r="P677" s="53">
        <f t="shared" si="10"/>
        <v>307</v>
      </c>
    </row>
    <row r="678" spans="2:16">
      <c r="B678" t="s">
        <v>758</v>
      </c>
      <c r="C678" t="s">
        <v>64</v>
      </c>
      <c r="D678" s="46" t="str" cm="1">
        <f t="array" ref="D678">_xlfn.XLOOKUP(C678,customers[Customer ID],customers[Gender],"")</f>
        <v>Female</v>
      </c>
      <c r="E678" s="46" cm="1">
        <f t="array" ref="E678">_xlfn.XLOOKUP(C678,customers[Customer ID],customers[Age],"")</f>
        <v>22</v>
      </c>
      <c r="F678" s="46" t="str" cm="1">
        <f t="array" ref="F678">_xlfn.XLOOKUP(C678,customers[Customer ID],customers[City],"")</f>
        <v>Cleveland</v>
      </c>
      <c r="G678">
        <v>61</v>
      </c>
      <c r="H678" s="47" t="s">
        <v>36</v>
      </c>
      <c r="I678" s="48">
        <v>45157</v>
      </c>
      <c r="J678">
        <v>93</v>
      </c>
      <c r="K678">
        <v>2.7</v>
      </c>
      <c r="L678">
        <f>IF(MONTH(calls[[#This Row],[Date of Call]])&lt;=6,YEAR(calls[[#This Row],[Date of Call]]),YEAR(calls[[#This Row],[Date of Call]])+1)</f>
        <v>2024</v>
      </c>
      <c r="M678" t="str">
        <f>TEXT(calls[[#This Row],[Date of Call]],"DDDD")</f>
        <v>Saturday</v>
      </c>
      <c r="N678" t="str" cm="1">
        <f t="array" ref="N67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78">
        <f>ROUND(calls[[#This Row],[Satisfaction Rating]],0)</f>
        <v>3</v>
      </c>
      <c r="P678" s="53">
        <f t="shared" si="10"/>
        <v>307</v>
      </c>
    </row>
    <row r="679" spans="2:16">
      <c r="B679" t="s">
        <v>759</v>
      </c>
      <c r="C679" t="s">
        <v>61</v>
      </c>
      <c r="D679" s="46" t="str" cm="1">
        <f t="array" ref="D679">_xlfn.XLOOKUP(C679,customers[Customer ID],customers[Gender],"")</f>
        <v>Female</v>
      </c>
      <c r="E679" s="46" cm="1">
        <f t="array" ref="E679">_xlfn.XLOOKUP(C679,customers[Customer ID],customers[Age],"")</f>
        <v>30</v>
      </c>
      <c r="F679" s="46" t="str" cm="1">
        <f t="array" ref="F679">_xlfn.XLOOKUP(C679,customers[Customer ID],customers[City],"")</f>
        <v>Cincinnati</v>
      </c>
      <c r="G679">
        <v>128</v>
      </c>
      <c r="H679" s="47" t="s">
        <v>36</v>
      </c>
      <c r="I679" s="48">
        <v>45157</v>
      </c>
      <c r="J679">
        <v>135</v>
      </c>
      <c r="K679">
        <v>2.1</v>
      </c>
      <c r="L679">
        <f>IF(MONTH(calls[[#This Row],[Date of Call]])&lt;=6,YEAR(calls[[#This Row],[Date of Call]]),YEAR(calls[[#This Row],[Date of Call]])+1)</f>
        <v>2024</v>
      </c>
      <c r="M679" t="str">
        <f>TEXT(calls[[#This Row],[Date of Call]],"DDDD")</f>
        <v>Saturday</v>
      </c>
      <c r="N679" t="str" cm="1">
        <f t="array" ref="N67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79">
        <f>ROUND(calls[[#This Row],[Satisfaction Rating]],0)</f>
        <v>2</v>
      </c>
      <c r="P679" s="53">
        <f t="shared" si="10"/>
        <v>307</v>
      </c>
    </row>
    <row r="680" spans="2:16">
      <c r="B680" t="s">
        <v>760</v>
      </c>
      <c r="C680" t="s">
        <v>62</v>
      </c>
      <c r="D680" s="46" t="str" cm="1">
        <f t="array" ref="D680">_xlfn.XLOOKUP(C680,customers[Customer ID],customers[Gender],"")</f>
        <v>Female</v>
      </c>
      <c r="E680" s="46" cm="1">
        <f t="array" ref="E680">_xlfn.XLOOKUP(C680,customers[Customer ID],customers[Age],"")</f>
        <v>28</v>
      </c>
      <c r="F680" s="46" t="str" cm="1">
        <f t="array" ref="F680">_xlfn.XLOOKUP(C680,customers[Customer ID],customers[City],"")</f>
        <v>Cincinnati</v>
      </c>
      <c r="G680">
        <v>30</v>
      </c>
      <c r="H680" s="47" t="s">
        <v>40</v>
      </c>
      <c r="I680" s="48">
        <v>45157</v>
      </c>
      <c r="J680">
        <v>210</v>
      </c>
      <c r="K680">
        <v>4.2</v>
      </c>
      <c r="L680">
        <f>IF(MONTH(calls[[#This Row],[Date of Call]])&lt;=6,YEAR(calls[[#This Row],[Date of Call]]),YEAR(calls[[#This Row],[Date of Call]])+1)</f>
        <v>2024</v>
      </c>
      <c r="M680" t="str">
        <f>TEXT(calls[[#This Row],[Date of Call]],"DDDD")</f>
        <v>Saturday</v>
      </c>
      <c r="N680" t="str" cm="1">
        <f t="array" ref="N680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680">
        <f>ROUND(calls[[#This Row],[Satisfaction Rating]],0)</f>
        <v>4</v>
      </c>
      <c r="P680" s="53">
        <f t="shared" si="10"/>
        <v>307</v>
      </c>
    </row>
    <row r="681" spans="2:16">
      <c r="B681" t="s">
        <v>761</v>
      </c>
      <c r="C681" t="s">
        <v>65</v>
      </c>
      <c r="D681" s="46" t="str" cm="1">
        <f t="array" ref="D681">_xlfn.XLOOKUP(C681,customers[Customer ID],customers[Gender],"")</f>
        <v>Female</v>
      </c>
      <c r="E681" s="46" cm="1">
        <f t="array" ref="E681">_xlfn.XLOOKUP(C681,customers[Customer ID],customers[Age],"")</f>
        <v>42</v>
      </c>
      <c r="F681" s="46" t="str" cm="1">
        <f t="array" ref="F681">_xlfn.XLOOKUP(C681,customers[Customer ID],customers[City],"")</f>
        <v>Cleveland</v>
      </c>
      <c r="G681">
        <v>63</v>
      </c>
      <c r="H681" s="47" t="s">
        <v>36</v>
      </c>
      <c r="I681" s="48">
        <v>45158</v>
      </c>
      <c r="J681">
        <v>29</v>
      </c>
      <c r="K681">
        <v>4.7</v>
      </c>
      <c r="L681">
        <f>IF(MONTH(calls[[#This Row],[Date of Call]])&lt;=6,YEAR(calls[[#This Row],[Date of Call]]),YEAR(calls[[#This Row],[Date of Call]])+1)</f>
        <v>2024</v>
      </c>
      <c r="M681" t="str">
        <f>TEXT(calls[[#This Row],[Date of Call]],"DDDD")</f>
        <v>Sunday</v>
      </c>
      <c r="N681" t="str" cm="1">
        <f t="array" ref="N6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81">
        <f>ROUND(calls[[#This Row],[Satisfaction Rating]],0)</f>
        <v>5</v>
      </c>
      <c r="P681" s="53">
        <f t="shared" si="10"/>
        <v>307</v>
      </c>
    </row>
    <row r="682" spans="2:16">
      <c r="B682" t="s">
        <v>762</v>
      </c>
      <c r="C682" t="s">
        <v>63</v>
      </c>
      <c r="D682" s="46" t="str" cm="1">
        <f t="array" ref="D682">_xlfn.XLOOKUP(C682,customers[Customer ID],customers[Gender],"")</f>
        <v>Male</v>
      </c>
      <c r="E682" s="46" cm="1">
        <f t="array" ref="E682">_xlfn.XLOOKUP(C682,customers[Customer ID],customers[Age],"")</f>
        <v>31</v>
      </c>
      <c r="F682" s="46" t="str" cm="1">
        <f t="array" ref="F682">_xlfn.XLOOKUP(C682,customers[Customer ID],customers[City],"")</f>
        <v>Cleveland</v>
      </c>
      <c r="G682">
        <v>64</v>
      </c>
      <c r="H682" s="47" t="s">
        <v>38</v>
      </c>
      <c r="I682" s="48">
        <v>45158</v>
      </c>
      <c r="J682">
        <v>111</v>
      </c>
      <c r="K682">
        <v>3.9</v>
      </c>
      <c r="L682">
        <f>IF(MONTH(calls[[#This Row],[Date of Call]])&lt;=6,YEAR(calls[[#This Row],[Date of Call]]),YEAR(calls[[#This Row],[Date of Call]])+1)</f>
        <v>2024</v>
      </c>
      <c r="M682" t="str">
        <f>TEXT(calls[[#This Row],[Date of Call]],"DDDD")</f>
        <v>Sunday</v>
      </c>
      <c r="N682" t="str" cm="1">
        <f t="array" ref="N6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82">
        <f>ROUND(calls[[#This Row],[Satisfaction Rating]],0)</f>
        <v>4</v>
      </c>
      <c r="P682" s="53">
        <f t="shared" si="10"/>
        <v>307</v>
      </c>
    </row>
    <row r="683" spans="2:16">
      <c r="B683" t="s">
        <v>763</v>
      </c>
      <c r="C683" t="s">
        <v>73</v>
      </c>
      <c r="D683" s="46" t="str" cm="1">
        <f t="array" ref="D683">_xlfn.XLOOKUP(C683,customers[Customer ID],customers[Gender],"")</f>
        <v>Female</v>
      </c>
      <c r="E683" s="46" cm="1">
        <f t="array" ref="E683">_xlfn.XLOOKUP(C683,customers[Customer ID],customers[Age],"")</f>
        <v>38</v>
      </c>
      <c r="F683" s="46" t="str" cm="1">
        <f t="array" ref="F683">_xlfn.XLOOKUP(C683,customers[Customer ID],customers[City],"")</f>
        <v>Columbus</v>
      </c>
      <c r="G683">
        <v>151</v>
      </c>
      <c r="H683" s="47" t="s">
        <v>37</v>
      </c>
      <c r="I683" s="48">
        <v>45159</v>
      </c>
      <c r="J683">
        <v>63</v>
      </c>
      <c r="K683">
        <v>4.1</v>
      </c>
      <c r="L683">
        <f>IF(MONTH(calls[[#This Row],[Date of Call]])&lt;=6,YEAR(calls[[#This Row],[Date of Call]]),YEAR(calls[[#This Row],[Date of Call]])+1)</f>
        <v>2024</v>
      </c>
      <c r="M683" t="str">
        <f>TEXT(calls[[#This Row],[Date of Call]],"DDDD")</f>
        <v>Monday</v>
      </c>
      <c r="N683" t="str" cm="1">
        <f t="array" ref="N68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83">
        <f>ROUND(calls[[#This Row],[Satisfaction Rating]],0)</f>
        <v>4</v>
      </c>
      <c r="P683" s="53">
        <f t="shared" si="10"/>
        <v>307</v>
      </c>
    </row>
    <row r="684" spans="2:16">
      <c r="B684" t="s">
        <v>764</v>
      </c>
      <c r="C684" t="s">
        <v>69</v>
      </c>
      <c r="D684" s="46" t="str" cm="1">
        <f t="array" ref="D684">_xlfn.XLOOKUP(C684,customers[Customer ID],customers[Gender],"")</f>
        <v>Male</v>
      </c>
      <c r="E684" s="46" cm="1">
        <f t="array" ref="E684">_xlfn.XLOOKUP(C684,customers[Customer ID],customers[Age],"")</f>
        <v>41</v>
      </c>
      <c r="F684" s="46" t="str" cm="1">
        <f t="array" ref="F684">_xlfn.XLOOKUP(C684,customers[Customer ID],customers[City],"")</f>
        <v>Columbus</v>
      </c>
      <c r="G684">
        <v>116</v>
      </c>
      <c r="H684" s="47" t="s">
        <v>39</v>
      </c>
      <c r="I684" s="48">
        <v>45159</v>
      </c>
      <c r="J684">
        <v>44</v>
      </c>
      <c r="K684">
        <v>3.8</v>
      </c>
      <c r="L684">
        <f>IF(MONTH(calls[[#This Row],[Date of Call]])&lt;=6,YEAR(calls[[#This Row],[Date of Call]]),YEAR(calls[[#This Row],[Date of Call]])+1)</f>
        <v>2024</v>
      </c>
      <c r="M684" t="str">
        <f>TEXT(calls[[#This Row],[Date of Call]],"DDDD")</f>
        <v>Monday</v>
      </c>
      <c r="N684" t="str" cm="1">
        <f t="array" ref="N6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84">
        <f>ROUND(calls[[#This Row],[Satisfaction Rating]],0)</f>
        <v>4</v>
      </c>
      <c r="P684" s="53">
        <f t="shared" si="10"/>
        <v>307</v>
      </c>
    </row>
    <row r="685" spans="2:16">
      <c r="B685" t="s">
        <v>765</v>
      </c>
      <c r="C685" t="s">
        <v>73</v>
      </c>
      <c r="D685" s="46" t="str" cm="1">
        <f t="array" ref="D685">_xlfn.XLOOKUP(C685,customers[Customer ID],customers[Gender],"")</f>
        <v>Female</v>
      </c>
      <c r="E685" s="46" cm="1">
        <f t="array" ref="E685">_xlfn.XLOOKUP(C685,customers[Customer ID],customers[Age],"")</f>
        <v>38</v>
      </c>
      <c r="F685" s="46" t="str" cm="1">
        <f t="array" ref="F685">_xlfn.XLOOKUP(C685,customers[Customer ID],customers[City],"")</f>
        <v>Columbus</v>
      </c>
      <c r="G685">
        <v>111</v>
      </c>
      <c r="H685" s="47" t="s">
        <v>39</v>
      </c>
      <c r="I685" s="48">
        <v>45161</v>
      </c>
      <c r="J685">
        <v>120</v>
      </c>
      <c r="K685">
        <v>1.8</v>
      </c>
      <c r="L685">
        <f>IF(MONTH(calls[[#This Row],[Date of Call]])&lt;=6,YEAR(calls[[#This Row],[Date of Call]]),YEAR(calls[[#This Row],[Date of Call]])+1)</f>
        <v>2024</v>
      </c>
      <c r="M685" t="str">
        <f>TEXT(calls[[#This Row],[Date of Call]],"DDDD")</f>
        <v>Wednesday</v>
      </c>
      <c r="N685" t="str" cm="1">
        <f t="array" ref="N6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85">
        <f>ROUND(calls[[#This Row],[Satisfaction Rating]],0)</f>
        <v>2</v>
      </c>
      <c r="P685" s="53">
        <f t="shared" si="10"/>
        <v>307</v>
      </c>
    </row>
    <row r="686" spans="2:16">
      <c r="B686" t="s">
        <v>766</v>
      </c>
      <c r="C686" t="s">
        <v>61</v>
      </c>
      <c r="D686" s="46" t="str" cm="1">
        <f t="array" ref="D686">_xlfn.XLOOKUP(C686,customers[Customer ID],customers[Gender],"")</f>
        <v>Female</v>
      </c>
      <c r="E686" s="46" cm="1">
        <f t="array" ref="E686">_xlfn.XLOOKUP(C686,customers[Customer ID],customers[Age],"")</f>
        <v>30</v>
      </c>
      <c r="F686" s="46" t="str" cm="1">
        <f t="array" ref="F686">_xlfn.XLOOKUP(C686,customers[Customer ID],customers[City],"")</f>
        <v>Cincinnati</v>
      </c>
      <c r="G686">
        <v>15</v>
      </c>
      <c r="H686" s="47" t="s">
        <v>39</v>
      </c>
      <c r="I686" s="48">
        <v>45161</v>
      </c>
      <c r="J686">
        <v>120</v>
      </c>
      <c r="K686">
        <v>4.1</v>
      </c>
      <c r="L686">
        <f>IF(MONTH(calls[[#This Row],[Date of Call]])&lt;=6,YEAR(calls[[#This Row],[Date of Call]]),YEAR(calls[[#This Row],[Date of Call]])+1)</f>
        <v>2024</v>
      </c>
      <c r="M686" t="str">
        <f>TEXT(calls[[#This Row],[Date of Call]],"DDDD")</f>
        <v>Wednesday</v>
      </c>
      <c r="N686" t="str" cm="1">
        <f t="array" ref="N68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686">
        <f>ROUND(calls[[#This Row],[Satisfaction Rating]],0)</f>
        <v>4</v>
      </c>
      <c r="P686" s="53">
        <f t="shared" si="10"/>
        <v>307</v>
      </c>
    </row>
    <row r="687" spans="2:16">
      <c r="B687" t="s">
        <v>767</v>
      </c>
      <c r="C687" t="s">
        <v>63</v>
      </c>
      <c r="D687" s="46" t="str" cm="1">
        <f t="array" ref="D687">_xlfn.XLOOKUP(C687,customers[Customer ID],customers[Gender],"")</f>
        <v>Male</v>
      </c>
      <c r="E687" s="46" cm="1">
        <f t="array" ref="E687">_xlfn.XLOOKUP(C687,customers[Customer ID],customers[Age],"")</f>
        <v>31</v>
      </c>
      <c r="F687" s="46" t="str" cm="1">
        <f t="array" ref="F687">_xlfn.XLOOKUP(C687,customers[Customer ID],customers[City],"")</f>
        <v>Cleveland</v>
      </c>
      <c r="G687">
        <v>18</v>
      </c>
      <c r="H687" s="47" t="s">
        <v>37</v>
      </c>
      <c r="I687" s="48">
        <v>45162</v>
      </c>
      <c r="J687">
        <v>40</v>
      </c>
      <c r="K687">
        <v>4.4</v>
      </c>
      <c r="L687">
        <f>IF(MONTH(calls[[#This Row],[Date of Call]])&lt;=6,YEAR(calls[[#This Row],[Date of Call]]),YEAR(calls[[#This Row],[Date of Call]])+1)</f>
        <v>2024</v>
      </c>
      <c r="M687" t="str">
        <f>TEXT(calls[[#This Row],[Date of Call]],"DDDD")</f>
        <v>Thursday</v>
      </c>
      <c r="N687" t="str" cm="1">
        <f t="array" ref="N68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687">
        <f>ROUND(calls[[#This Row],[Satisfaction Rating]],0)</f>
        <v>4</v>
      </c>
      <c r="P687" s="53">
        <f t="shared" si="10"/>
        <v>307</v>
      </c>
    </row>
    <row r="688" spans="2:16">
      <c r="B688" t="s">
        <v>768</v>
      </c>
      <c r="C688" t="s">
        <v>64</v>
      </c>
      <c r="D688" s="46" t="str" cm="1">
        <f t="array" ref="D688">_xlfn.XLOOKUP(C688,customers[Customer ID],customers[Gender],"")</f>
        <v>Female</v>
      </c>
      <c r="E688" s="46" cm="1">
        <f t="array" ref="E688">_xlfn.XLOOKUP(C688,customers[Customer ID],customers[Age],"")</f>
        <v>22</v>
      </c>
      <c r="F688" s="46" t="str" cm="1">
        <f t="array" ref="F688">_xlfn.XLOOKUP(C688,customers[Customer ID],customers[City],"")</f>
        <v>Cleveland</v>
      </c>
      <c r="G688">
        <v>146</v>
      </c>
      <c r="H688" s="47" t="s">
        <v>36</v>
      </c>
      <c r="I688" s="48">
        <v>45162</v>
      </c>
      <c r="J688">
        <v>160</v>
      </c>
      <c r="K688">
        <v>4.1</v>
      </c>
      <c r="L688">
        <f>IF(MONTH(calls[[#This Row],[Date of Call]])&lt;=6,YEAR(calls[[#This Row],[Date of Call]]),YEAR(calls[[#This Row],[Date of Call]])+1)</f>
        <v>2024</v>
      </c>
      <c r="M688" t="str">
        <f>TEXT(calls[[#This Row],[Date of Call]],"DDDD")</f>
        <v>Thursday</v>
      </c>
      <c r="N688" t="str" cm="1">
        <f t="array" ref="N68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88">
        <f>ROUND(calls[[#This Row],[Satisfaction Rating]],0)</f>
        <v>4</v>
      </c>
      <c r="P688" s="53">
        <f t="shared" si="10"/>
        <v>307</v>
      </c>
    </row>
    <row r="689" spans="2:16">
      <c r="B689" t="s">
        <v>769</v>
      </c>
      <c r="C689" t="s">
        <v>62</v>
      </c>
      <c r="D689" s="46" t="str" cm="1">
        <f t="array" ref="D689">_xlfn.XLOOKUP(C689,customers[Customer ID],customers[Gender],"")</f>
        <v>Female</v>
      </c>
      <c r="E689" s="46" cm="1">
        <f t="array" ref="E689">_xlfn.XLOOKUP(C689,customers[Customer ID],customers[Age],"")</f>
        <v>28</v>
      </c>
      <c r="F689" s="46" t="str" cm="1">
        <f t="array" ref="F689">_xlfn.XLOOKUP(C689,customers[Customer ID],customers[City],"")</f>
        <v>Cincinnati</v>
      </c>
      <c r="G689">
        <v>73</v>
      </c>
      <c r="H689" s="47" t="s">
        <v>39</v>
      </c>
      <c r="I689" s="48">
        <v>45163</v>
      </c>
      <c r="J689">
        <v>44</v>
      </c>
      <c r="K689">
        <v>3.8</v>
      </c>
      <c r="L689">
        <f>IF(MONTH(calls[[#This Row],[Date of Call]])&lt;=6,YEAR(calls[[#This Row],[Date of Call]]),YEAR(calls[[#This Row],[Date of Call]])+1)</f>
        <v>2024</v>
      </c>
      <c r="M689" t="str">
        <f>TEXT(calls[[#This Row],[Date of Call]],"DDDD")</f>
        <v>Friday</v>
      </c>
      <c r="N689" t="str" cm="1">
        <f t="array" ref="N6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89">
        <f>ROUND(calls[[#This Row],[Satisfaction Rating]],0)</f>
        <v>4</v>
      </c>
      <c r="P689" s="53">
        <f t="shared" si="10"/>
        <v>307</v>
      </c>
    </row>
    <row r="690" spans="2:16">
      <c r="B690" t="s">
        <v>770</v>
      </c>
      <c r="C690" t="s">
        <v>73</v>
      </c>
      <c r="D690" s="46" t="str" cm="1">
        <f t="array" ref="D690">_xlfn.XLOOKUP(C690,customers[Customer ID],customers[Gender],"")</f>
        <v>Female</v>
      </c>
      <c r="E690" s="46" cm="1">
        <f t="array" ref="E690">_xlfn.XLOOKUP(C690,customers[Customer ID],customers[Age],"")</f>
        <v>38</v>
      </c>
      <c r="F690" s="46" t="str" cm="1">
        <f t="array" ref="F690">_xlfn.XLOOKUP(C690,customers[Customer ID],customers[City],"")</f>
        <v>Columbus</v>
      </c>
      <c r="G690">
        <v>108</v>
      </c>
      <c r="H690" s="47" t="s">
        <v>37</v>
      </c>
      <c r="I690" s="48">
        <v>45163</v>
      </c>
      <c r="J690">
        <v>80</v>
      </c>
      <c r="K690">
        <v>4.3</v>
      </c>
      <c r="L690">
        <f>IF(MONTH(calls[[#This Row],[Date of Call]])&lt;=6,YEAR(calls[[#This Row],[Date of Call]]),YEAR(calls[[#This Row],[Date of Call]])+1)</f>
        <v>2024</v>
      </c>
      <c r="M690" t="str">
        <f>TEXT(calls[[#This Row],[Date of Call]],"DDDD")</f>
        <v>Friday</v>
      </c>
      <c r="N690" t="str" cm="1">
        <f t="array" ref="N6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90">
        <f>ROUND(calls[[#This Row],[Satisfaction Rating]],0)</f>
        <v>4</v>
      </c>
      <c r="P690" s="53">
        <f t="shared" si="10"/>
        <v>307</v>
      </c>
    </row>
    <row r="691" spans="2:16">
      <c r="B691" t="s">
        <v>771</v>
      </c>
      <c r="C691" t="s">
        <v>71</v>
      </c>
      <c r="D691" s="46" t="str" cm="1">
        <f t="array" ref="D691">_xlfn.XLOOKUP(C691,customers[Customer ID],customers[Gender],"")</f>
        <v>Male</v>
      </c>
      <c r="E691" s="46" cm="1">
        <f t="array" ref="E691">_xlfn.XLOOKUP(C691,customers[Customer ID],customers[Age],"")</f>
        <v>23</v>
      </c>
      <c r="F691" s="46" t="str" cm="1">
        <f t="array" ref="F691">_xlfn.XLOOKUP(C691,customers[Customer ID],customers[City],"")</f>
        <v>Columbus</v>
      </c>
      <c r="G691">
        <v>52</v>
      </c>
      <c r="H691" s="47" t="s">
        <v>37</v>
      </c>
      <c r="I691" s="48">
        <v>45164</v>
      </c>
      <c r="J691">
        <v>66</v>
      </c>
      <c r="K691">
        <v>4.5</v>
      </c>
      <c r="L691">
        <f>IF(MONTH(calls[[#This Row],[Date of Call]])&lt;=6,YEAR(calls[[#This Row],[Date of Call]]),YEAR(calls[[#This Row],[Date of Call]])+1)</f>
        <v>2024</v>
      </c>
      <c r="M691" t="str">
        <f>TEXT(calls[[#This Row],[Date of Call]],"DDDD")</f>
        <v>Saturday</v>
      </c>
      <c r="N691" t="str" cm="1">
        <f t="array" ref="N69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91">
        <f>ROUND(calls[[#This Row],[Satisfaction Rating]],0)</f>
        <v>5</v>
      </c>
      <c r="P691" s="53">
        <f t="shared" si="10"/>
        <v>307</v>
      </c>
    </row>
    <row r="692" spans="2:16">
      <c r="B692" t="s">
        <v>772</v>
      </c>
      <c r="C692" t="s">
        <v>69</v>
      </c>
      <c r="D692" s="46" t="str" cm="1">
        <f t="array" ref="D692">_xlfn.XLOOKUP(C692,customers[Customer ID],customers[Gender],"")</f>
        <v>Male</v>
      </c>
      <c r="E692" s="46" cm="1">
        <f t="array" ref="E692">_xlfn.XLOOKUP(C692,customers[Customer ID],customers[Age],"")</f>
        <v>41</v>
      </c>
      <c r="F692" s="46" t="str" cm="1">
        <f t="array" ref="F692">_xlfn.XLOOKUP(C692,customers[Customer ID],customers[City],"")</f>
        <v>Columbus</v>
      </c>
      <c r="G692">
        <v>165</v>
      </c>
      <c r="H692" s="47" t="s">
        <v>38</v>
      </c>
      <c r="I692" s="48">
        <v>45164</v>
      </c>
      <c r="J692">
        <v>82</v>
      </c>
      <c r="K692">
        <v>3.4</v>
      </c>
      <c r="L692">
        <f>IF(MONTH(calls[[#This Row],[Date of Call]])&lt;=6,YEAR(calls[[#This Row],[Date of Call]]),YEAR(calls[[#This Row],[Date of Call]])+1)</f>
        <v>2024</v>
      </c>
      <c r="M692" t="str">
        <f>TEXT(calls[[#This Row],[Date of Call]],"DDDD")</f>
        <v>Saturday</v>
      </c>
      <c r="N692" t="str" cm="1">
        <f t="array" ref="N69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92">
        <f>ROUND(calls[[#This Row],[Satisfaction Rating]],0)</f>
        <v>3</v>
      </c>
      <c r="P692" s="53">
        <f t="shared" si="10"/>
        <v>307</v>
      </c>
    </row>
    <row r="693" spans="2:16">
      <c r="B693" t="s">
        <v>773</v>
      </c>
      <c r="C693" t="s">
        <v>64</v>
      </c>
      <c r="D693" s="46" t="str" cm="1">
        <f t="array" ref="D693">_xlfn.XLOOKUP(C693,customers[Customer ID],customers[Gender],"")</f>
        <v>Female</v>
      </c>
      <c r="E693" s="46" cm="1">
        <f t="array" ref="E693">_xlfn.XLOOKUP(C693,customers[Customer ID],customers[Age],"")</f>
        <v>22</v>
      </c>
      <c r="F693" s="46" t="str" cm="1">
        <f t="array" ref="F693">_xlfn.XLOOKUP(C693,customers[Customer ID],customers[City],"")</f>
        <v>Cleveland</v>
      </c>
      <c r="G693">
        <v>104</v>
      </c>
      <c r="H693" s="47" t="s">
        <v>39</v>
      </c>
      <c r="I693" s="48">
        <v>45164</v>
      </c>
      <c r="J693">
        <v>66</v>
      </c>
      <c r="K693">
        <v>4.8</v>
      </c>
      <c r="L693">
        <f>IF(MONTH(calls[[#This Row],[Date of Call]])&lt;=6,YEAR(calls[[#This Row],[Date of Call]]),YEAR(calls[[#This Row],[Date of Call]])+1)</f>
        <v>2024</v>
      </c>
      <c r="M693" t="str">
        <f>TEXT(calls[[#This Row],[Date of Call]],"DDDD")</f>
        <v>Saturday</v>
      </c>
      <c r="N693" t="str" cm="1">
        <f t="array" ref="N6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93">
        <f>ROUND(calls[[#This Row],[Satisfaction Rating]],0)</f>
        <v>5</v>
      </c>
      <c r="P693" s="53">
        <f t="shared" si="10"/>
        <v>307</v>
      </c>
    </row>
    <row r="694" spans="2:16">
      <c r="B694" t="s">
        <v>774</v>
      </c>
      <c r="C694" t="s">
        <v>62</v>
      </c>
      <c r="D694" s="46" t="str" cm="1">
        <f t="array" ref="D694">_xlfn.XLOOKUP(C694,customers[Customer ID],customers[Gender],"")</f>
        <v>Female</v>
      </c>
      <c r="E694" s="46" cm="1">
        <f t="array" ref="E694">_xlfn.XLOOKUP(C694,customers[Customer ID],customers[Age],"")</f>
        <v>28</v>
      </c>
      <c r="F694" s="46" t="str" cm="1">
        <f t="array" ref="F694">_xlfn.XLOOKUP(C694,customers[Customer ID],customers[City],"")</f>
        <v>Cincinnati</v>
      </c>
      <c r="G694">
        <v>131</v>
      </c>
      <c r="H694" s="47" t="s">
        <v>36</v>
      </c>
      <c r="I694" s="48">
        <v>45164</v>
      </c>
      <c r="J694">
        <v>92</v>
      </c>
      <c r="K694">
        <v>4.9</v>
      </c>
      <c r="L694">
        <f>IF(MONTH(calls[[#This Row],[Date of Call]])&lt;=6,YEAR(calls[[#This Row],[Date of Call]]),YEAR(calls[[#This Row],[Date of Call]])+1)</f>
        <v>2024</v>
      </c>
      <c r="M694" t="str">
        <f>TEXT(calls[[#This Row],[Date of Call]],"DDDD")</f>
        <v>Saturday</v>
      </c>
      <c r="N694" t="str" cm="1">
        <f t="array" ref="N69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694">
        <f>ROUND(calls[[#This Row],[Satisfaction Rating]],0)</f>
        <v>5</v>
      </c>
      <c r="P694" s="53">
        <f t="shared" si="10"/>
        <v>307</v>
      </c>
    </row>
    <row r="695" spans="2:16">
      <c r="B695" t="s">
        <v>775</v>
      </c>
      <c r="C695" t="s">
        <v>68</v>
      </c>
      <c r="D695" s="46" t="str" cm="1">
        <f t="array" ref="D695">_xlfn.XLOOKUP(C695,customers[Customer ID],customers[Gender],"")</f>
        <v>Female</v>
      </c>
      <c r="E695" s="46" cm="1">
        <f t="array" ref="E695">_xlfn.XLOOKUP(C695,customers[Customer ID],customers[Age],"")</f>
        <v>43</v>
      </c>
      <c r="F695" s="46" t="str" cm="1">
        <f t="array" ref="F695">_xlfn.XLOOKUP(C695,customers[Customer ID],customers[City],"")</f>
        <v>Cleveland</v>
      </c>
      <c r="G695">
        <v>80</v>
      </c>
      <c r="H695" s="47" t="s">
        <v>38</v>
      </c>
      <c r="I695" s="48">
        <v>45165</v>
      </c>
      <c r="J695">
        <v>104</v>
      </c>
      <c r="K695">
        <v>4.7</v>
      </c>
      <c r="L695">
        <f>IF(MONTH(calls[[#This Row],[Date of Call]])&lt;=6,YEAR(calls[[#This Row],[Date of Call]]),YEAR(calls[[#This Row],[Date of Call]])+1)</f>
        <v>2024</v>
      </c>
      <c r="M695" t="str">
        <f>TEXT(calls[[#This Row],[Date of Call]],"DDDD")</f>
        <v>Sunday</v>
      </c>
      <c r="N695" t="str" cm="1">
        <f t="array" ref="N69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95">
        <f>ROUND(calls[[#This Row],[Satisfaction Rating]],0)</f>
        <v>5</v>
      </c>
      <c r="P695" s="53">
        <f t="shared" si="10"/>
        <v>307</v>
      </c>
    </row>
    <row r="696" spans="2:16">
      <c r="B696" t="s">
        <v>776</v>
      </c>
      <c r="C696" t="s">
        <v>61</v>
      </c>
      <c r="D696" s="46" t="str" cm="1">
        <f t="array" ref="D696">_xlfn.XLOOKUP(C696,customers[Customer ID],customers[Gender],"")</f>
        <v>Female</v>
      </c>
      <c r="E696" s="46" cm="1">
        <f t="array" ref="E696">_xlfn.XLOOKUP(C696,customers[Customer ID],customers[Age],"")</f>
        <v>30</v>
      </c>
      <c r="F696" s="46" t="str" cm="1">
        <f t="array" ref="F696">_xlfn.XLOOKUP(C696,customers[Customer ID],customers[City],"")</f>
        <v>Cincinnati</v>
      </c>
      <c r="G696">
        <v>49</v>
      </c>
      <c r="H696" s="47" t="s">
        <v>39</v>
      </c>
      <c r="I696" s="48">
        <v>45165</v>
      </c>
      <c r="J696">
        <v>105</v>
      </c>
      <c r="K696">
        <v>3.3</v>
      </c>
      <c r="L696">
        <f>IF(MONTH(calls[[#This Row],[Date of Call]])&lt;=6,YEAR(calls[[#This Row],[Date of Call]]),YEAR(calls[[#This Row],[Date of Call]])+1)</f>
        <v>2024</v>
      </c>
      <c r="M696" t="str">
        <f>TEXT(calls[[#This Row],[Date of Call]],"DDDD")</f>
        <v>Sunday</v>
      </c>
      <c r="N696" t="str" cm="1">
        <f t="array" ref="N69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96">
        <f>ROUND(calls[[#This Row],[Satisfaction Rating]],0)</f>
        <v>3</v>
      </c>
      <c r="P696" s="53">
        <f t="shared" si="10"/>
        <v>307</v>
      </c>
    </row>
    <row r="697" spans="2:16">
      <c r="B697" t="s">
        <v>777</v>
      </c>
      <c r="C697" t="s">
        <v>69</v>
      </c>
      <c r="D697" s="46" t="str" cm="1">
        <f t="array" ref="D697">_xlfn.XLOOKUP(C697,customers[Customer ID],customers[Gender],"")</f>
        <v>Male</v>
      </c>
      <c r="E697" s="46" cm="1">
        <f t="array" ref="E697">_xlfn.XLOOKUP(C697,customers[Customer ID],customers[Age],"")</f>
        <v>41</v>
      </c>
      <c r="F697" s="46" t="str" cm="1">
        <f t="array" ref="F697">_xlfn.XLOOKUP(C697,customers[Customer ID],customers[City],"")</f>
        <v>Columbus</v>
      </c>
      <c r="G697">
        <v>73</v>
      </c>
      <c r="H697" s="47" t="s">
        <v>39</v>
      </c>
      <c r="I697" s="48">
        <v>45165</v>
      </c>
      <c r="J697">
        <v>100</v>
      </c>
      <c r="K697">
        <v>2.8</v>
      </c>
      <c r="L697">
        <f>IF(MONTH(calls[[#This Row],[Date of Call]])&lt;=6,YEAR(calls[[#This Row],[Date of Call]]),YEAR(calls[[#This Row],[Date of Call]])+1)</f>
        <v>2024</v>
      </c>
      <c r="M697" t="str">
        <f>TEXT(calls[[#This Row],[Date of Call]],"DDDD")</f>
        <v>Sunday</v>
      </c>
      <c r="N697" t="str" cm="1">
        <f t="array" ref="N69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97">
        <f>ROUND(calls[[#This Row],[Satisfaction Rating]],0)</f>
        <v>3</v>
      </c>
      <c r="P697" s="53">
        <f t="shared" si="10"/>
        <v>307</v>
      </c>
    </row>
    <row r="698" spans="2:16">
      <c r="B698" t="s">
        <v>778</v>
      </c>
      <c r="C698" t="s">
        <v>64</v>
      </c>
      <c r="D698" s="46" t="str" cm="1">
        <f t="array" ref="D698">_xlfn.XLOOKUP(C698,customers[Customer ID],customers[Gender],"")</f>
        <v>Female</v>
      </c>
      <c r="E698" s="46" cm="1">
        <f t="array" ref="E698">_xlfn.XLOOKUP(C698,customers[Customer ID],customers[Age],"")</f>
        <v>22</v>
      </c>
      <c r="F698" s="46" t="str" cm="1">
        <f t="array" ref="F698">_xlfn.XLOOKUP(C698,customers[Customer ID],customers[City],"")</f>
        <v>Cleveland</v>
      </c>
      <c r="G698">
        <v>117</v>
      </c>
      <c r="H698" s="47" t="s">
        <v>38</v>
      </c>
      <c r="I698" s="48">
        <v>45165</v>
      </c>
      <c r="J698">
        <v>90</v>
      </c>
      <c r="K698">
        <v>4.1</v>
      </c>
      <c r="L698">
        <f>IF(MONTH(calls[[#This Row],[Date of Call]])&lt;=6,YEAR(calls[[#This Row],[Date of Call]]),YEAR(calls[[#This Row],[Date of Call]])+1)</f>
        <v>2024</v>
      </c>
      <c r="M698" t="str">
        <f>TEXT(calls[[#This Row],[Date of Call]],"DDDD")</f>
        <v>Sunday</v>
      </c>
      <c r="N698" t="str" cm="1">
        <f t="array" ref="N6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698">
        <f>ROUND(calls[[#This Row],[Satisfaction Rating]],0)</f>
        <v>4</v>
      </c>
      <c r="P698" s="53">
        <f t="shared" si="10"/>
        <v>307</v>
      </c>
    </row>
    <row r="699" spans="2:16">
      <c r="B699" t="s">
        <v>779</v>
      </c>
      <c r="C699" t="s">
        <v>70</v>
      </c>
      <c r="D699" s="46" t="str" cm="1">
        <f t="array" ref="D699">_xlfn.XLOOKUP(C699,customers[Customer ID],customers[Gender],"")</f>
        <v>Male</v>
      </c>
      <c r="E699" s="46" cm="1">
        <f t="array" ref="E699">_xlfn.XLOOKUP(C699,customers[Customer ID],customers[Age],"")</f>
        <v>37</v>
      </c>
      <c r="F699" s="46" t="str" cm="1">
        <f t="array" ref="F699">_xlfn.XLOOKUP(C699,customers[Customer ID],customers[City],"")</f>
        <v>Columbus</v>
      </c>
      <c r="G699">
        <v>38</v>
      </c>
      <c r="H699" s="47" t="s">
        <v>40</v>
      </c>
      <c r="I699" s="48">
        <v>45165</v>
      </c>
      <c r="J699">
        <v>110</v>
      </c>
      <c r="K699">
        <v>3.5</v>
      </c>
      <c r="L699">
        <f>IF(MONTH(calls[[#This Row],[Date of Call]])&lt;=6,YEAR(calls[[#This Row],[Date of Call]]),YEAR(calls[[#This Row],[Date of Call]])+1)</f>
        <v>2024</v>
      </c>
      <c r="M699" t="str">
        <f>TEXT(calls[[#This Row],[Date of Call]],"DDDD")</f>
        <v>Sunday</v>
      </c>
      <c r="N699" t="str" cm="1">
        <f t="array" ref="N69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699">
        <f>ROUND(calls[[#This Row],[Satisfaction Rating]],0)</f>
        <v>4</v>
      </c>
      <c r="P699" s="53">
        <f t="shared" si="10"/>
        <v>307</v>
      </c>
    </row>
    <row r="700" spans="2:16">
      <c r="B700" t="s">
        <v>780</v>
      </c>
      <c r="C700" t="s">
        <v>71</v>
      </c>
      <c r="D700" s="46" t="str" cm="1">
        <f t="array" ref="D700">_xlfn.XLOOKUP(C700,customers[Customer ID],customers[Gender],"")</f>
        <v>Male</v>
      </c>
      <c r="E700" s="46" cm="1">
        <f t="array" ref="E700">_xlfn.XLOOKUP(C700,customers[Customer ID],customers[Age],"")</f>
        <v>23</v>
      </c>
      <c r="F700" s="46" t="str" cm="1">
        <f t="array" ref="F700">_xlfn.XLOOKUP(C700,customers[Customer ID],customers[City],"")</f>
        <v>Columbus</v>
      </c>
      <c r="G700">
        <v>109</v>
      </c>
      <c r="H700" s="47" t="s">
        <v>38</v>
      </c>
      <c r="I700" s="48">
        <v>45167</v>
      </c>
      <c r="J700">
        <v>68</v>
      </c>
      <c r="K700">
        <v>2.3</v>
      </c>
      <c r="L700">
        <f>IF(MONTH(calls[[#This Row],[Date of Call]])&lt;=6,YEAR(calls[[#This Row],[Date of Call]]),YEAR(calls[[#This Row],[Date of Call]])+1)</f>
        <v>2024</v>
      </c>
      <c r="M700" t="str">
        <f>TEXT(calls[[#This Row],[Date of Call]],"DDDD")</f>
        <v>Tuesday</v>
      </c>
      <c r="N700" t="str" cm="1">
        <f t="array" ref="N7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00">
        <f>ROUND(calls[[#This Row],[Satisfaction Rating]],0)</f>
        <v>2</v>
      </c>
      <c r="P700" s="53">
        <f t="shared" si="10"/>
        <v>307</v>
      </c>
    </row>
    <row r="701" spans="2:16">
      <c r="B701" t="s">
        <v>781</v>
      </c>
      <c r="C701" t="s">
        <v>61</v>
      </c>
      <c r="D701" s="46" t="str" cm="1">
        <f t="array" ref="D701">_xlfn.XLOOKUP(C701,customers[Customer ID],customers[Gender],"")</f>
        <v>Female</v>
      </c>
      <c r="E701" s="46" cm="1">
        <f t="array" ref="E701">_xlfn.XLOOKUP(C701,customers[Customer ID],customers[Age],"")</f>
        <v>30</v>
      </c>
      <c r="F701" s="46" t="str" cm="1">
        <f t="array" ref="F701">_xlfn.XLOOKUP(C701,customers[Customer ID],customers[City],"")</f>
        <v>Cincinnati</v>
      </c>
      <c r="G701">
        <v>70</v>
      </c>
      <c r="H701" s="47" t="s">
        <v>37</v>
      </c>
      <c r="I701" s="48">
        <v>45168</v>
      </c>
      <c r="J701">
        <v>210</v>
      </c>
      <c r="K701">
        <v>4.1</v>
      </c>
      <c r="L701">
        <f>IF(MONTH(calls[[#This Row],[Date of Call]])&lt;=6,YEAR(calls[[#This Row],[Date of Call]]),YEAR(calls[[#This Row],[Date of Call]])+1)</f>
        <v>2024</v>
      </c>
      <c r="M701" t="str">
        <f>TEXT(calls[[#This Row],[Date of Call]],"DDDD")</f>
        <v>Wednesday</v>
      </c>
      <c r="N701" t="str" cm="1">
        <f t="array" ref="N7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01">
        <f>ROUND(calls[[#This Row],[Satisfaction Rating]],0)</f>
        <v>4</v>
      </c>
      <c r="P701" s="53">
        <f t="shared" si="10"/>
        <v>307</v>
      </c>
    </row>
    <row r="702" spans="2:16">
      <c r="B702" t="s">
        <v>782</v>
      </c>
      <c r="C702" t="s">
        <v>60</v>
      </c>
      <c r="D702" s="46" t="str" cm="1">
        <f t="array" ref="D702">_xlfn.XLOOKUP(C702,customers[Customer ID],customers[Gender],"")</f>
        <v>Male</v>
      </c>
      <c r="E702" s="46" cm="1">
        <f t="array" ref="E702">_xlfn.XLOOKUP(C702,customers[Customer ID],customers[Age],"")</f>
        <v>36</v>
      </c>
      <c r="F702" s="46" t="str" cm="1">
        <f t="array" ref="F702">_xlfn.XLOOKUP(C702,customers[Customer ID],customers[City],"")</f>
        <v>Cincinnati</v>
      </c>
      <c r="G702">
        <v>51</v>
      </c>
      <c r="H702" s="47" t="s">
        <v>40</v>
      </c>
      <c r="I702" s="48">
        <v>45168</v>
      </c>
      <c r="J702">
        <v>111</v>
      </c>
      <c r="K702">
        <v>4.3</v>
      </c>
      <c r="L702">
        <f>IF(MONTH(calls[[#This Row],[Date of Call]])&lt;=6,YEAR(calls[[#This Row],[Date of Call]]),YEAR(calls[[#This Row],[Date of Call]])+1)</f>
        <v>2024</v>
      </c>
      <c r="M702" t="str">
        <f>TEXT(calls[[#This Row],[Date of Call]],"DDDD")</f>
        <v>Wednesday</v>
      </c>
      <c r="N702" t="str" cm="1">
        <f t="array" ref="N70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02">
        <f>ROUND(calls[[#This Row],[Satisfaction Rating]],0)</f>
        <v>4</v>
      </c>
      <c r="P702" s="53">
        <f t="shared" si="10"/>
        <v>307</v>
      </c>
    </row>
    <row r="703" spans="2:16">
      <c r="B703" t="s">
        <v>783</v>
      </c>
      <c r="C703" t="s">
        <v>60</v>
      </c>
      <c r="D703" s="46" t="str" cm="1">
        <f t="array" ref="D703">_xlfn.XLOOKUP(C703,customers[Customer ID],customers[Gender],"")</f>
        <v>Male</v>
      </c>
      <c r="E703" s="46" cm="1">
        <f t="array" ref="E703">_xlfn.XLOOKUP(C703,customers[Customer ID],customers[Age],"")</f>
        <v>36</v>
      </c>
      <c r="F703" s="46" t="str" cm="1">
        <f t="array" ref="F703">_xlfn.XLOOKUP(C703,customers[Customer ID],customers[City],"")</f>
        <v>Cincinnati</v>
      </c>
      <c r="G703">
        <v>100</v>
      </c>
      <c r="H703" s="47" t="s">
        <v>37</v>
      </c>
      <c r="I703" s="48">
        <v>45169</v>
      </c>
      <c r="J703">
        <v>45</v>
      </c>
      <c r="K703">
        <v>4.9</v>
      </c>
      <c r="L703">
        <f>IF(MONTH(calls[[#This Row],[Date of Call]])&lt;=6,YEAR(calls[[#This Row],[Date of Call]]),YEAR(calls[[#This Row],[Date of Call]])+1)</f>
        <v>2024</v>
      </c>
      <c r="M703" t="str">
        <f>TEXT(calls[[#This Row],[Date of Call]],"DDDD")</f>
        <v>Thursday</v>
      </c>
      <c r="N703" t="str" cm="1">
        <f t="array" ref="N7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03">
        <f>ROUND(calls[[#This Row],[Satisfaction Rating]],0)</f>
        <v>5</v>
      </c>
      <c r="P703" s="53">
        <f t="shared" si="10"/>
        <v>307</v>
      </c>
    </row>
    <row r="704" spans="2:16">
      <c r="B704" t="s">
        <v>784</v>
      </c>
      <c r="C704" t="s">
        <v>67</v>
      </c>
      <c r="D704" s="46" t="str" cm="1">
        <f t="array" ref="D704">_xlfn.XLOOKUP(C704,customers[Customer ID],customers[Gender],"")</f>
        <v>Female</v>
      </c>
      <c r="E704" s="46" cm="1">
        <f t="array" ref="E704">_xlfn.XLOOKUP(C704,customers[Customer ID],customers[Age],"")</f>
        <v>37</v>
      </c>
      <c r="F704" s="46" t="str" cm="1">
        <f t="array" ref="F704">_xlfn.XLOOKUP(C704,customers[Customer ID],customers[City],"")</f>
        <v>Cleveland</v>
      </c>
      <c r="G704">
        <v>124</v>
      </c>
      <c r="H704" s="47" t="s">
        <v>40</v>
      </c>
      <c r="I704" s="48">
        <v>45170</v>
      </c>
      <c r="J704">
        <v>132</v>
      </c>
      <c r="K704">
        <v>4</v>
      </c>
      <c r="L704">
        <f>IF(MONTH(calls[[#This Row],[Date of Call]])&lt;=6,YEAR(calls[[#This Row],[Date of Call]]),YEAR(calls[[#This Row],[Date of Call]])+1)</f>
        <v>2024</v>
      </c>
      <c r="M704" t="str">
        <f>TEXT(calls[[#This Row],[Date of Call]],"DDDD")</f>
        <v>Friday</v>
      </c>
      <c r="N704" t="str" cm="1">
        <f t="array" ref="N70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04">
        <f>ROUND(calls[[#This Row],[Satisfaction Rating]],0)</f>
        <v>4</v>
      </c>
      <c r="P704" s="53">
        <f t="shared" si="10"/>
        <v>307</v>
      </c>
    </row>
    <row r="705" spans="2:16">
      <c r="B705" t="s">
        <v>785</v>
      </c>
      <c r="C705" t="s">
        <v>59</v>
      </c>
      <c r="D705" s="46" t="str" cm="1">
        <f t="array" ref="D705">_xlfn.XLOOKUP(C705,customers[Customer ID],customers[Gender],"")</f>
        <v>Male</v>
      </c>
      <c r="E705" s="46" cm="1">
        <f t="array" ref="E705">_xlfn.XLOOKUP(C705,customers[Customer ID],customers[Age],"")</f>
        <v>26</v>
      </c>
      <c r="F705" s="46" t="str" cm="1">
        <f t="array" ref="F705">_xlfn.XLOOKUP(C705,customers[Customer ID],customers[City],"")</f>
        <v>Cincinnati</v>
      </c>
      <c r="G705">
        <v>143</v>
      </c>
      <c r="H705" s="47" t="s">
        <v>38</v>
      </c>
      <c r="I705" s="48">
        <v>45170</v>
      </c>
      <c r="J705">
        <v>20</v>
      </c>
      <c r="K705">
        <v>4.7</v>
      </c>
      <c r="L705">
        <f>IF(MONTH(calls[[#This Row],[Date of Call]])&lt;=6,YEAR(calls[[#This Row],[Date of Call]]),YEAR(calls[[#This Row],[Date of Call]])+1)</f>
        <v>2024</v>
      </c>
      <c r="M705" t="str">
        <f>TEXT(calls[[#This Row],[Date of Call]],"DDDD")</f>
        <v>Friday</v>
      </c>
      <c r="N705" t="str" cm="1">
        <f t="array" ref="N70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05">
        <f>ROUND(calls[[#This Row],[Satisfaction Rating]],0)</f>
        <v>5</v>
      </c>
      <c r="P705" s="53">
        <f t="shared" si="10"/>
        <v>307</v>
      </c>
    </row>
    <row r="706" spans="2:16">
      <c r="B706" t="s">
        <v>786</v>
      </c>
      <c r="C706" t="s">
        <v>66</v>
      </c>
      <c r="D706" s="46" t="str" cm="1">
        <f t="array" ref="D706">_xlfn.XLOOKUP(C706,customers[Customer ID],customers[Gender],"")</f>
        <v>Female</v>
      </c>
      <c r="E706" s="46" cm="1">
        <f t="array" ref="E706">_xlfn.XLOOKUP(C706,customers[Customer ID],customers[Age],"")</f>
        <v>30</v>
      </c>
      <c r="F706" s="46" t="str" cm="1">
        <f t="array" ref="F706">_xlfn.XLOOKUP(C706,customers[Customer ID],customers[City],"")</f>
        <v>Cleveland</v>
      </c>
      <c r="G706">
        <v>96</v>
      </c>
      <c r="H706" s="47" t="s">
        <v>39</v>
      </c>
      <c r="I706" s="48">
        <v>45170</v>
      </c>
      <c r="J706">
        <v>36</v>
      </c>
      <c r="K706">
        <v>3.4</v>
      </c>
      <c r="L706">
        <f>IF(MONTH(calls[[#This Row],[Date of Call]])&lt;=6,YEAR(calls[[#This Row],[Date of Call]]),YEAR(calls[[#This Row],[Date of Call]])+1)</f>
        <v>2024</v>
      </c>
      <c r="M706" t="str">
        <f>TEXT(calls[[#This Row],[Date of Call]],"DDDD")</f>
        <v>Friday</v>
      </c>
      <c r="N706" t="str" cm="1">
        <f t="array" ref="N70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06">
        <f>ROUND(calls[[#This Row],[Satisfaction Rating]],0)</f>
        <v>3</v>
      </c>
      <c r="P706" s="53">
        <f t="shared" si="10"/>
        <v>307</v>
      </c>
    </row>
    <row r="707" spans="2:16">
      <c r="B707" t="s">
        <v>787</v>
      </c>
      <c r="C707" t="s">
        <v>69</v>
      </c>
      <c r="D707" s="46" t="str" cm="1">
        <f t="array" ref="D707">_xlfn.XLOOKUP(C707,customers[Customer ID],customers[Gender],"")</f>
        <v>Male</v>
      </c>
      <c r="E707" s="46" cm="1">
        <f t="array" ref="E707">_xlfn.XLOOKUP(C707,customers[Customer ID],customers[Age],"")</f>
        <v>41</v>
      </c>
      <c r="F707" s="46" t="str" cm="1">
        <f t="array" ref="F707">_xlfn.XLOOKUP(C707,customers[Customer ID],customers[City],"")</f>
        <v>Columbus</v>
      </c>
      <c r="G707">
        <v>84</v>
      </c>
      <c r="H707" s="47" t="s">
        <v>37</v>
      </c>
      <c r="I707" s="48">
        <v>45172</v>
      </c>
      <c r="J707">
        <v>72</v>
      </c>
      <c r="K707">
        <v>4</v>
      </c>
      <c r="L707">
        <f>IF(MONTH(calls[[#This Row],[Date of Call]])&lt;=6,YEAR(calls[[#This Row],[Date of Call]]),YEAR(calls[[#This Row],[Date of Call]])+1)</f>
        <v>2024</v>
      </c>
      <c r="M707" t="str">
        <f>TEXT(calls[[#This Row],[Date of Call]],"DDDD")</f>
        <v>Sunday</v>
      </c>
      <c r="N707" t="str" cm="1">
        <f t="array" ref="N7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07">
        <f>ROUND(calls[[#This Row],[Satisfaction Rating]],0)</f>
        <v>4</v>
      </c>
      <c r="P707" s="53">
        <f t="shared" si="10"/>
        <v>307</v>
      </c>
    </row>
    <row r="708" spans="2:16">
      <c r="B708" t="s">
        <v>788</v>
      </c>
      <c r="C708" t="s">
        <v>72</v>
      </c>
      <c r="D708" s="46" t="str" cm="1">
        <f t="array" ref="D708">_xlfn.XLOOKUP(C708,customers[Customer ID],customers[Gender],"")</f>
        <v>Female</v>
      </c>
      <c r="E708" s="46" cm="1">
        <f t="array" ref="E708">_xlfn.XLOOKUP(C708,customers[Customer ID],customers[Age],"")</f>
        <v>25</v>
      </c>
      <c r="F708" s="46" t="str" cm="1">
        <f t="array" ref="F708">_xlfn.XLOOKUP(C708,customers[Customer ID],customers[City],"")</f>
        <v>Columbus</v>
      </c>
      <c r="G708">
        <v>111</v>
      </c>
      <c r="H708" s="47" t="s">
        <v>37</v>
      </c>
      <c r="I708" s="48">
        <v>45172</v>
      </c>
      <c r="J708">
        <v>63</v>
      </c>
      <c r="K708">
        <v>4.5</v>
      </c>
      <c r="L708">
        <f>IF(MONTH(calls[[#This Row],[Date of Call]])&lt;=6,YEAR(calls[[#This Row],[Date of Call]]),YEAR(calls[[#This Row],[Date of Call]])+1)</f>
        <v>2024</v>
      </c>
      <c r="M708" t="str">
        <f>TEXT(calls[[#This Row],[Date of Call]],"DDDD")</f>
        <v>Sunday</v>
      </c>
      <c r="N708" t="str" cm="1">
        <f t="array" ref="N70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08">
        <f>ROUND(calls[[#This Row],[Satisfaction Rating]],0)</f>
        <v>5</v>
      </c>
      <c r="P708" s="53">
        <f t="shared" ref="P708:P771" si="11">COUNTIF(O:O,5)</f>
        <v>307</v>
      </c>
    </row>
    <row r="709" spans="2:16">
      <c r="B709" t="s">
        <v>789</v>
      </c>
      <c r="C709" t="s">
        <v>72</v>
      </c>
      <c r="D709" s="46" t="str" cm="1">
        <f t="array" ref="D709">_xlfn.XLOOKUP(C709,customers[Customer ID],customers[Gender],"")</f>
        <v>Female</v>
      </c>
      <c r="E709" s="46" cm="1">
        <f t="array" ref="E709">_xlfn.XLOOKUP(C709,customers[Customer ID],customers[Age],"")</f>
        <v>25</v>
      </c>
      <c r="F709" s="46" t="str" cm="1">
        <f t="array" ref="F709">_xlfn.XLOOKUP(C709,customers[Customer ID],customers[City],"")</f>
        <v>Columbus</v>
      </c>
      <c r="G709">
        <v>103</v>
      </c>
      <c r="H709" s="47" t="s">
        <v>40</v>
      </c>
      <c r="I709" s="48">
        <v>45173</v>
      </c>
      <c r="J709">
        <v>44</v>
      </c>
      <c r="K709">
        <v>4.5</v>
      </c>
      <c r="L709">
        <f>IF(MONTH(calls[[#This Row],[Date of Call]])&lt;=6,YEAR(calls[[#This Row],[Date of Call]]),YEAR(calls[[#This Row],[Date of Call]])+1)</f>
        <v>2024</v>
      </c>
      <c r="M709" t="str">
        <f>TEXT(calls[[#This Row],[Date of Call]],"DDDD")</f>
        <v>Monday</v>
      </c>
      <c r="N709" t="str" cm="1">
        <f t="array" ref="N7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09">
        <f>ROUND(calls[[#This Row],[Satisfaction Rating]],0)</f>
        <v>5</v>
      </c>
      <c r="P709" s="53">
        <f t="shared" si="11"/>
        <v>307</v>
      </c>
    </row>
    <row r="710" spans="2:16">
      <c r="B710" t="s">
        <v>790</v>
      </c>
      <c r="C710" t="s">
        <v>59</v>
      </c>
      <c r="D710" s="46" t="str" cm="1">
        <f t="array" ref="D710">_xlfn.XLOOKUP(C710,customers[Customer ID],customers[Gender],"")</f>
        <v>Male</v>
      </c>
      <c r="E710" s="46" cm="1">
        <f t="array" ref="E710">_xlfn.XLOOKUP(C710,customers[Customer ID],customers[Age],"")</f>
        <v>26</v>
      </c>
      <c r="F710" s="46" t="str" cm="1">
        <f t="array" ref="F710">_xlfn.XLOOKUP(C710,customers[Customer ID],customers[City],"")</f>
        <v>Cincinnati</v>
      </c>
      <c r="G710">
        <v>61</v>
      </c>
      <c r="H710" s="47" t="s">
        <v>36</v>
      </c>
      <c r="I710" s="48">
        <v>45173</v>
      </c>
      <c r="J710">
        <v>132</v>
      </c>
      <c r="K710">
        <v>4.9</v>
      </c>
      <c r="L710">
        <f>IF(MONTH(calls[[#This Row],[Date of Call]])&lt;=6,YEAR(calls[[#This Row],[Date of Call]]),YEAR(calls[[#This Row],[Date of Call]])+1)</f>
        <v>2024</v>
      </c>
      <c r="M710" t="str">
        <f>TEXT(calls[[#This Row],[Date of Call]],"DDDD")</f>
        <v>Monday</v>
      </c>
      <c r="N710" t="str" cm="1">
        <f t="array" ref="N7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10">
        <f>ROUND(calls[[#This Row],[Satisfaction Rating]],0)</f>
        <v>5</v>
      </c>
      <c r="P710" s="53">
        <f t="shared" si="11"/>
        <v>307</v>
      </c>
    </row>
    <row r="711" spans="2:16">
      <c r="B711" t="s">
        <v>791</v>
      </c>
      <c r="C711" t="s">
        <v>62</v>
      </c>
      <c r="D711" s="46" t="str" cm="1">
        <f t="array" ref="D711">_xlfn.XLOOKUP(C711,customers[Customer ID],customers[Gender],"")</f>
        <v>Female</v>
      </c>
      <c r="E711" s="46" cm="1">
        <f t="array" ref="E711">_xlfn.XLOOKUP(C711,customers[Customer ID],customers[Age],"")</f>
        <v>28</v>
      </c>
      <c r="F711" s="46" t="str" cm="1">
        <f t="array" ref="F711">_xlfn.XLOOKUP(C711,customers[Customer ID],customers[City],"")</f>
        <v>Cincinnati</v>
      </c>
      <c r="G711">
        <v>113</v>
      </c>
      <c r="H711" s="47" t="s">
        <v>39</v>
      </c>
      <c r="I711" s="48">
        <v>45173</v>
      </c>
      <c r="J711">
        <v>46</v>
      </c>
      <c r="K711">
        <v>4.4</v>
      </c>
      <c r="L711">
        <f>IF(MONTH(calls[[#This Row],[Date of Call]])&lt;=6,YEAR(calls[[#This Row],[Date of Call]]),YEAR(calls[[#This Row],[Date of Call]])+1)</f>
        <v>2024</v>
      </c>
      <c r="M711" t="str">
        <f>TEXT(calls[[#This Row],[Date of Call]],"DDDD")</f>
        <v>Monday</v>
      </c>
      <c r="N711" t="str" cm="1">
        <f t="array" ref="N71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11">
        <f>ROUND(calls[[#This Row],[Satisfaction Rating]],0)</f>
        <v>4</v>
      </c>
      <c r="P711" s="53">
        <f t="shared" si="11"/>
        <v>307</v>
      </c>
    </row>
    <row r="712" spans="2:16">
      <c r="B712" t="s">
        <v>792</v>
      </c>
      <c r="C712" t="s">
        <v>62</v>
      </c>
      <c r="D712" s="46" t="str" cm="1">
        <f t="array" ref="D712">_xlfn.XLOOKUP(C712,customers[Customer ID],customers[Gender],"")</f>
        <v>Female</v>
      </c>
      <c r="E712" s="46" cm="1">
        <f t="array" ref="E712">_xlfn.XLOOKUP(C712,customers[Customer ID],customers[Age],"")</f>
        <v>28</v>
      </c>
      <c r="F712" s="46" t="str" cm="1">
        <f t="array" ref="F712">_xlfn.XLOOKUP(C712,customers[Customer ID],customers[City],"")</f>
        <v>Cincinnati</v>
      </c>
      <c r="G712">
        <v>96</v>
      </c>
      <c r="H712" s="47" t="s">
        <v>39</v>
      </c>
      <c r="I712" s="48">
        <v>45173</v>
      </c>
      <c r="J712">
        <v>96</v>
      </c>
      <c r="K712">
        <v>2.9</v>
      </c>
      <c r="L712">
        <f>IF(MONTH(calls[[#This Row],[Date of Call]])&lt;=6,YEAR(calls[[#This Row],[Date of Call]]),YEAR(calls[[#This Row],[Date of Call]])+1)</f>
        <v>2024</v>
      </c>
      <c r="M712" t="str">
        <f>TEXT(calls[[#This Row],[Date of Call]],"DDDD")</f>
        <v>Monday</v>
      </c>
      <c r="N712" t="str" cm="1">
        <f t="array" ref="N71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12">
        <f>ROUND(calls[[#This Row],[Satisfaction Rating]],0)</f>
        <v>3</v>
      </c>
      <c r="P712" s="53">
        <f t="shared" si="11"/>
        <v>307</v>
      </c>
    </row>
    <row r="713" spans="2:16">
      <c r="B713" t="s">
        <v>793</v>
      </c>
      <c r="C713" t="s">
        <v>63</v>
      </c>
      <c r="D713" s="46" t="str" cm="1">
        <f t="array" ref="D713">_xlfn.XLOOKUP(C713,customers[Customer ID],customers[Gender],"")</f>
        <v>Male</v>
      </c>
      <c r="E713" s="46" cm="1">
        <f t="array" ref="E713">_xlfn.XLOOKUP(C713,customers[Customer ID],customers[Age],"")</f>
        <v>31</v>
      </c>
      <c r="F713" s="46" t="str" cm="1">
        <f t="array" ref="F713">_xlfn.XLOOKUP(C713,customers[Customer ID],customers[City],"")</f>
        <v>Cleveland</v>
      </c>
      <c r="G713">
        <v>131</v>
      </c>
      <c r="H713" s="47" t="s">
        <v>40</v>
      </c>
      <c r="I713" s="48">
        <v>45174</v>
      </c>
      <c r="J713">
        <v>75</v>
      </c>
      <c r="K713">
        <v>4.4</v>
      </c>
      <c r="L713">
        <f>IF(MONTH(calls[[#This Row],[Date of Call]])&lt;=6,YEAR(calls[[#This Row],[Date of Call]]),YEAR(calls[[#This Row],[Date of Call]])+1)</f>
        <v>2024</v>
      </c>
      <c r="M713" t="str">
        <f>TEXT(calls[[#This Row],[Date of Call]],"DDDD")</f>
        <v>Tuesday</v>
      </c>
      <c r="N713" t="str" cm="1">
        <f t="array" ref="N71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13">
        <f>ROUND(calls[[#This Row],[Satisfaction Rating]],0)</f>
        <v>4</v>
      </c>
      <c r="P713" s="53">
        <f t="shared" si="11"/>
        <v>307</v>
      </c>
    </row>
    <row r="714" spans="2:16">
      <c r="B714" t="s">
        <v>794</v>
      </c>
      <c r="C714" t="s">
        <v>64</v>
      </c>
      <c r="D714" s="46" t="str" cm="1">
        <f t="array" ref="D714">_xlfn.XLOOKUP(C714,customers[Customer ID],customers[Gender],"")</f>
        <v>Female</v>
      </c>
      <c r="E714" s="46" cm="1">
        <f t="array" ref="E714">_xlfn.XLOOKUP(C714,customers[Customer ID],customers[Age],"")</f>
        <v>22</v>
      </c>
      <c r="F714" s="46" t="str" cm="1">
        <f t="array" ref="F714">_xlfn.XLOOKUP(C714,customers[Customer ID],customers[City],"")</f>
        <v>Cleveland</v>
      </c>
      <c r="G714">
        <v>52</v>
      </c>
      <c r="H714" s="47" t="s">
        <v>39</v>
      </c>
      <c r="I714" s="48">
        <v>45175</v>
      </c>
      <c r="J714">
        <v>88</v>
      </c>
      <c r="K714">
        <v>4.3</v>
      </c>
      <c r="L714">
        <f>IF(MONTH(calls[[#This Row],[Date of Call]])&lt;=6,YEAR(calls[[#This Row],[Date of Call]]),YEAR(calls[[#This Row],[Date of Call]])+1)</f>
        <v>2024</v>
      </c>
      <c r="M714" t="str">
        <f>TEXT(calls[[#This Row],[Date of Call]],"DDDD")</f>
        <v>Wednesday</v>
      </c>
      <c r="N714" t="str" cm="1">
        <f t="array" ref="N71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14">
        <f>ROUND(calls[[#This Row],[Satisfaction Rating]],0)</f>
        <v>4</v>
      </c>
      <c r="P714" s="53">
        <f t="shared" si="11"/>
        <v>307</v>
      </c>
    </row>
    <row r="715" spans="2:16">
      <c r="B715" t="s">
        <v>795</v>
      </c>
      <c r="C715" t="s">
        <v>60</v>
      </c>
      <c r="D715" s="46" t="str" cm="1">
        <f t="array" ref="D715">_xlfn.XLOOKUP(C715,customers[Customer ID],customers[Gender],"")</f>
        <v>Male</v>
      </c>
      <c r="E715" s="46" cm="1">
        <f t="array" ref="E715">_xlfn.XLOOKUP(C715,customers[Customer ID],customers[Age],"")</f>
        <v>36</v>
      </c>
      <c r="F715" s="46" t="str" cm="1">
        <f t="array" ref="F715">_xlfn.XLOOKUP(C715,customers[Customer ID],customers[City],"")</f>
        <v>Cincinnati</v>
      </c>
      <c r="G715">
        <v>100</v>
      </c>
      <c r="H715" s="47" t="s">
        <v>40</v>
      </c>
      <c r="I715" s="48">
        <v>45175</v>
      </c>
      <c r="J715">
        <v>24</v>
      </c>
      <c r="K715">
        <v>4.7</v>
      </c>
      <c r="L715">
        <f>IF(MONTH(calls[[#This Row],[Date of Call]])&lt;=6,YEAR(calls[[#This Row],[Date of Call]]),YEAR(calls[[#This Row],[Date of Call]])+1)</f>
        <v>2024</v>
      </c>
      <c r="M715" t="str">
        <f>TEXT(calls[[#This Row],[Date of Call]],"DDDD")</f>
        <v>Wednesday</v>
      </c>
      <c r="N715" t="str" cm="1">
        <f t="array" ref="N71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15">
        <f>ROUND(calls[[#This Row],[Satisfaction Rating]],0)</f>
        <v>5</v>
      </c>
      <c r="P715" s="53">
        <f t="shared" si="11"/>
        <v>307</v>
      </c>
    </row>
    <row r="716" spans="2:16">
      <c r="B716" t="s">
        <v>796</v>
      </c>
      <c r="C716" t="s">
        <v>73</v>
      </c>
      <c r="D716" s="46" t="str" cm="1">
        <f t="array" ref="D716">_xlfn.XLOOKUP(C716,customers[Customer ID],customers[Gender],"")</f>
        <v>Female</v>
      </c>
      <c r="E716" s="46" cm="1">
        <f t="array" ref="E716">_xlfn.XLOOKUP(C716,customers[Customer ID],customers[Age],"")</f>
        <v>38</v>
      </c>
      <c r="F716" s="46" t="str" cm="1">
        <f t="array" ref="F716">_xlfn.XLOOKUP(C716,customers[Customer ID],customers[City],"")</f>
        <v>Columbus</v>
      </c>
      <c r="G716">
        <v>58</v>
      </c>
      <c r="H716" s="47" t="s">
        <v>38</v>
      </c>
      <c r="I716" s="48">
        <v>45175</v>
      </c>
      <c r="J716">
        <v>96</v>
      </c>
      <c r="K716">
        <v>3.2</v>
      </c>
      <c r="L716">
        <f>IF(MONTH(calls[[#This Row],[Date of Call]])&lt;=6,YEAR(calls[[#This Row],[Date of Call]]),YEAR(calls[[#This Row],[Date of Call]])+1)</f>
        <v>2024</v>
      </c>
      <c r="M716" t="str">
        <f>TEXT(calls[[#This Row],[Date of Call]],"DDDD")</f>
        <v>Wednesday</v>
      </c>
      <c r="N716" t="str" cm="1">
        <f t="array" ref="N71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16">
        <f>ROUND(calls[[#This Row],[Satisfaction Rating]],0)</f>
        <v>3</v>
      </c>
      <c r="P716" s="53">
        <f t="shared" si="11"/>
        <v>307</v>
      </c>
    </row>
    <row r="717" spans="2:16">
      <c r="B717" t="s">
        <v>797</v>
      </c>
      <c r="C717" t="s">
        <v>61</v>
      </c>
      <c r="D717" s="46" t="str" cm="1">
        <f t="array" ref="D717">_xlfn.XLOOKUP(C717,customers[Customer ID],customers[Gender],"")</f>
        <v>Female</v>
      </c>
      <c r="E717" s="46" cm="1">
        <f t="array" ref="E717">_xlfn.XLOOKUP(C717,customers[Customer ID],customers[Age],"")</f>
        <v>30</v>
      </c>
      <c r="F717" s="46" t="str" cm="1">
        <f t="array" ref="F717">_xlfn.XLOOKUP(C717,customers[Customer ID],customers[City],"")</f>
        <v>Cincinnati</v>
      </c>
      <c r="G717">
        <v>144</v>
      </c>
      <c r="H717" s="47" t="s">
        <v>38</v>
      </c>
      <c r="I717" s="48">
        <v>45176</v>
      </c>
      <c r="J717">
        <v>124</v>
      </c>
      <c r="K717">
        <v>2.3</v>
      </c>
      <c r="L717">
        <f>IF(MONTH(calls[[#This Row],[Date of Call]])&lt;=6,YEAR(calls[[#This Row],[Date of Call]]),YEAR(calls[[#This Row],[Date of Call]])+1)</f>
        <v>2024</v>
      </c>
      <c r="M717" t="str">
        <f>TEXT(calls[[#This Row],[Date of Call]],"DDDD")</f>
        <v>Thursday</v>
      </c>
      <c r="N717" t="str" cm="1">
        <f t="array" ref="N71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17">
        <f>ROUND(calls[[#This Row],[Satisfaction Rating]],0)</f>
        <v>2</v>
      </c>
      <c r="P717" s="53">
        <f t="shared" si="11"/>
        <v>307</v>
      </c>
    </row>
    <row r="718" spans="2:16">
      <c r="B718" t="s">
        <v>798</v>
      </c>
      <c r="C718" t="s">
        <v>73</v>
      </c>
      <c r="D718" s="46" t="str" cm="1">
        <f t="array" ref="D718">_xlfn.XLOOKUP(C718,customers[Customer ID],customers[Gender],"")</f>
        <v>Female</v>
      </c>
      <c r="E718" s="46" cm="1">
        <f t="array" ref="E718">_xlfn.XLOOKUP(C718,customers[Customer ID],customers[Age],"")</f>
        <v>38</v>
      </c>
      <c r="F718" s="46" t="str" cm="1">
        <f t="array" ref="F718">_xlfn.XLOOKUP(C718,customers[Customer ID],customers[City],"")</f>
        <v>Columbus</v>
      </c>
      <c r="G718">
        <v>53</v>
      </c>
      <c r="H718" s="47" t="s">
        <v>36</v>
      </c>
      <c r="I718" s="48">
        <v>45177</v>
      </c>
      <c r="J718">
        <v>130</v>
      </c>
      <c r="K718">
        <v>3.6</v>
      </c>
      <c r="L718">
        <f>IF(MONTH(calls[[#This Row],[Date of Call]])&lt;=6,YEAR(calls[[#This Row],[Date of Call]]),YEAR(calls[[#This Row],[Date of Call]])+1)</f>
        <v>2024</v>
      </c>
      <c r="M718" t="str">
        <f>TEXT(calls[[#This Row],[Date of Call]],"DDDD")</f>
        <v>Friday</v>
      </c>
      <c r="N718" t="str" cm="1">
        <f t="array" ref="N71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18">
        <f>ROUND(calls[[#This Row],[Satisfaction Rating]],0)</f>
        <v>4</v>
      </c>
      <c r="P718" s="53">
        <f t="shared" si="11"/>
        <v>307</v>
      </c>
    </row>
    <row r="719" spans="2:16">
      <c r="B719" t="s">
        <v>799</v>
      </c>
      <c r="C719" t="s">
        <v>62</v>
      </c>
      <c r="D719" s="46" t="str" cm="1">
        <f t="array" ref="D719">_xlfn.XLOOKUP(C719,customers[Customer ID],customers[Gender],"")</f>
        <v>Female</v>
      </c>
      <c r="E719" s="46" cm="1">
        <f t="array" ref="E719">_xlfn.XLOOKUP(C719,customers[Customer ID],customers[Age],"")</f>
        <v>28</v>
      </c>
      <c r="F719" s="46" t="str" cm="1">
        <f t="array" ref="F719">_xlfn.XLOOKUP(C719,customers[Customer ID],customers[City],"")</f>
        <v>Cincinnati</v>
      </c>
      <c r="G719">
        <v>97</v>
      </c>
      <c r="H719" s="47" t="s">
        <v>37</v>
      </c>
      <c r="I719" s="48">
        <v>45177</v>
      </c>
      <c r="J719">
        <v>45</v>
      </c>
      <c r="K719">
        <v>4.6</v>
      </c>
      <c r="L719">
        <f>IF(MONTH(calls[[#This Row],[Date of Call]])&lt;=6,YEAR(calls[[#This Row],[Date of Call]]),YEAR(calls[[#This Row],[Date of Call]])+1)</f>
        <v>2024</v>
      </c>
      <c r="M719" t="str">
        <f>TEXT(calls[[#This Row],[Date of Call]],"DDDD")</f>
        <v>Friday</v>
      </c>
      <c r="N719" t="str" cm="1">
        <f t="array" ref="N7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19">
        <f>ROUND(calls[[#This Row],[Satisfaction Rating]],0)</f>
        <v>5</v>
      </c>
      <c r="P719" s="53">
        <f t="shared" si="11"/>
        <v>307</v>
      </c>
    </row>
    <row r="720" spans="2:16">
      <c r="B720" t="s">
        <v>800</v>
      </c>
      <c r="C720" t="s">
        <v>70</v>
      </c>
      <c r="D720" s="46" t="str" cm="1">
        <f t="array" ref="D720">_xlfn.XLOOKUP(C720,customers[Customer ID],customers[Gender],"")</f>
        <v>Male</v>
      </c>
      <c r="E720" s="46" cm="1">
        <f t="array" ref="E720">_xlfn.XLOOKUP(C720,customers[Customer ID],customers[Age],"")</f>
        <v>37</v>
      </c>
      <c r="F720" s="46" t="str" cm="1">
        <f t="array" ref="F720">_xlfn.XLOOKUP(C720,customers[Customer ID],customers[City],"")</f>
        <v>Columbus</v>
      </c>
      <c r="G720">
        <v>64</v>
      </c>
      <c r="H720" s="47" t="s">
        <v>38</v>
      </c>
      <c r="I720" s="48">
        <v>45177</v>
      </c>
      <c r="J720">
        <v>66</v>
      </c>
      <c r="K720">
        <v>4</v>
      </c>
      <c r="L720">
        <f>IF(MONTH(calls[[#This Row],[Date of Call]])&lt;=6,YEAR(calls[[#This Row],[Date of Call]]),YEAR(calls[[#This Row],[Date of Call]])+1)</f>
        <v>2024</v>
      </c>
      <c r="M720" t="str">
        <f>TEXT(calls[[#This Row],[Date of Call]],"DDDD")</f>
        <v>Friday</v>
      </c>
      <c r="N720" t="str" cm="1">
        <f t="array" ref="N72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20">
        <f>ROUND(calls[[#This Row],[Satisfaction Rating]],0)</f>
        <v>4</v>
      </c>
      <c r="P720" s="53">
        <f t="shared" si="11"/>
        <v>307</v>
      </c>
    </row>
    <row r="721" spans="2:16">
      <c r="B721" t="s">
        <v>801</v>
      </c>
      <c r="C721" t="s">
        <v>59</v>
      </c>
      <c r="D721" s="46" t="str" cm="1">
        <f t="array" ref="D721">_xlfn.XLOOKUP(C721,customers[Customer ID],customers[Gender],"")</f>
        <v>Male</v>
      </c>
      <c r="E721" s="46" cm="1">
        <f t="array" ref="E721">_xlfn.XLOOKUP(C721,customers[Customer ID],customers[Age],"")</f>
        <v>26</v>
      </c>
      <c r="F721" s="46" t="str" cm="1">
        <f t="array" ref="F721">_xlfn.XLOOKUP(C721,customers[Customer ID],customers[City],"")</f>
        <v>Cincinnati</v>
      </c>
      <c r="G721">
        <v>106</v>
      </c>
      <c r="H721" s="47" t="s">
        <v>40</v>
      </c>
      <c r="I721" s="48">
        <v>45177</v>
      </c>
      <c r="J721">
        <v>58</v>
      </c>
      <c r="K721">
        <v>4.7</v>
      </c>
      <c r="L721">
        <f>IF(MONTH(calls[[#This Row],[Date of Call]])&lt;=6,YEAR(calls[[#This Row],[Date of Call]]),YEAR(calls[[#This Row],[Date of Call]])+1)</f>
        <v>2024</v>
      </c>
      <c r="M721" t="str">
        <f>TEXT(calls[[#This Row],[Date of Call]],"DDDD")</f>
        <v>Friday</v>
      </c>
      <c r="N721" t="str" cm="1">
        <f t="array" ref="N7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21">
        <f>ROUND(calls[[#This Row],[Satisfaction Rating]],0)</f>
        <v>5</v>
      </c>
      <c r="P721" s="53">
        <f t="shared" si="11"/>
        <v>307</v>
      </c>
    </row>
    <row r="722" spans="2:16">
      <c r="B722" t="s">
        <v>802</v>
      </c>
      <c r="C722" t="s">
        <v>69</v>
      </c>
      <c r="D722" s="46" t="str" cm="1">
        <f t="array" ref="D722">_xlfn.XLOOKUP(C722,customers[Customer ID],customers[Gender],"")</f>
        <v>Male</v>
      </c>
      <c r="E722" s="46" cm="1">
        <f t="array" ref="E722">_xlfn.XLOOKUP(C722,customers[Customer ID],customers[Age],"")</f>
        <v>41</v>
      </c>
      <c r="F722" s="46" t="str" cm="1">
        <f t="array" ref="F722">_xlfn.XLOOKUP(C722,customers[Customer ID],customers[City],"")</f>
        <v>Columbus</v>
      </c>
      <c r="G722">
        <v>36</v>
      </c>
      <c r="H722" s="47" t="s">
        <v>38</v>
      </c>
      <c r="I722" s="48">
        <v>45178</v>
      </c>
      <c r="J722">
        <v>152</v>
      </c>
      <c r="K722">
        <v>4.3</v>
      </c>
      <c r="L722">
        <f>IF(MONTH(calls[[#This Row],[Date of Call]])&lt;=6,YEAR(calls[[#This Row],[Date of Call]]),YEAR(calls[[#This Row],[Date of Call]])+1)</f>
        <v>2024</v>
      </c>
      <c r="M722" t="str">
        <f>TEXT(calls[[#This Row],[Date of Call]],"DDDD")</f>
        <v>Saturday</v>
      </c>
      <c r="N722" t="str" cm="1">
        <f t="array" ref="N72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22">
        <f>ROUND(calls[[#This Row],[Satisfaction Rating]],0)</f>
        <v>4</v>
      </c>
      <c r="P722" s="53">
        <f t="shared" si="11"/>
        <v>307</v>
      </c>
    </row>
    <row r="723" spans="2:16">
      <c r="B723" t="s">
        <v>803</v>
      </c>
      <c r="C723" t="s">
        <v>61</v>
      </c>
      <c r="D723" s="46" t="str" cm="1">
        <f t="array" ref="D723">_xlfn.XLOOKUP(C723,customers[Customer ID],customers[Gender],"")</f>
        <v>Female</v>
      </c>
      <c r="E723" s="46" cm="1">
        <f t="array" ref="E723">_xlfn.XLOOKUP(C723,customers[Customer ID],customers[Age],"")</f>
        <v>30</v>
      </c>
      <c r="F723" s="46" t="str" cm="1">
        <f t="array" ref="F723">_xlfn.XLOOKUP(C723,customers[Customer ID],customers[City],"")</f>
        <v>Cincinnati</v>
      </c>
      <c r="G723">
        <v>74</v>
      </c>
      <c r="H723" s="47" t="s">
        <v>39</v>
      </c>
      <c r="I723" s="48">
        <v>45178</v>
      </c>
      <c r="J723">
        <v>75</v>
      </c>
      <c r="K723">
        <v>2.8</v>
      </c>
      <c r="L723">
        <f>IF(MONTH(calls[[#This Row],[Date of Call]])&lt;=6,YEAR(calls[[#This Row],[Date of Call]]),YEAR(calls[[#This Row],[Date of Call]])+1)</f>
        <v>2024</v>
      </c>
      <c r="M723" t="str">
        <f>TEXT(calls[[#This Row],[Date of Call]],"DDDD")</f>
        <v>Saturday</v>
      </c>
      <c r="N723" t="str" cm="1">
        <f t="array" ref="N7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23">
        <f>ROUND(calls[[#This Row],[Satisfaction Rating]],0)</f>
        <v>3</v>
      </c>
      <c r="P723" s="53">
        <f t="shared" si="11"/>
        <v>307</v>
      </c>
    </row>
    <row r="724" spans="2:16">
      <c r="B724" t="s">
        <v>804</v>
      </c>
      <c r="C724" t="s">
        <v>71</v>
      </c>
      <c r="D724" s="46" t="str" cm="1">
        <f t="array" ref="D724">_xlfn.XLOOKUP(C724,customers[Customer ID],customers[Gender],"")</f>
        <v>Male</v>
      </c>
      <c r="E724" s="46" cm="1">
        <f t="array" ref="E724">_xlfn.XLOOKUP(C724,customers[Customer ID],customers[Age],"")</f>
        <v>23</v>
      </c>
      <c r="F724" s="46" t="str" cm="1">
        <f t="array" ref="F724">_xlfn.XLOOKUP(C724,customers[Customer ID],customers[City],"")</f>
        <v>Columbus</v>
      </c>
      <c r="G724">
        <v>143</v>
      </c>
      <c r="H724" s="47" t="s">
        <v>37</v>
      </c>
      <c r="I724" s="48">
        <v>45178</v>
      </c>
      <c r="J724">
        <v>78</v>
      </c>
      <c r="K724">
        <v>4</v>
      </c>
      <c r="L724">
        <f>IF(MONTH(calls[[#This Row],[Date of Call]])&lt;=6,YEAR(calls[[#This Row],[Date of Call]]),YEAR(calls[[#This Row],[Date of Call]])+1)</f>
        <v>2024</v>
      </c>
      <c r="M724" t="str">
        <f>TEXT(calls[[#This Row],[Date of Call]],"DDDD")</f>
        <v>Saturday</v>
      </c>
      <c r="N724" t="str" cm="1">
        <f t="array" ref="N72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24">
        <f>ROUND(calls[[#This Row],[Satisfaction Rating]],0)</f>
        <v>4</v>
      </c>
      <c r="P724" s="53">
        <f t="shared" si="11"/>
        <v>307</v>
      </c>
    </row>
    <row r="725" spans="2:16">
      <c r="B725" t="s">
        <v>805</v>
      </c>
      <c r="C725" t="s">
        <v>59</v>
      </c>
      <c r="D725" s="46" t="str" cm="1">
        <f t="array" ref="D725">_xlfn.XLOOKUP(C725,customers[Customer ID],customers[Gender],"")</f>
        <v>Male</v>
      </c>
      <c r="E725" s="46" cm="1">
        <f t="array" ref="E725">_xlfn.XLOOKUP(C725,customers[Customer ID],customers[Age],"")</f>
        <v>26</v>
      </c>
      <c r="F725" s="46" t="str" cm="1">
        <f t="array" ref="F725">_xlfn.XLOOKUP(C725,customers[Customer ID],customers[City],"")</f>
        <v>Cincinnati</v>
      </c>
      <c r="G725">
        <v>94</v>
      </c>
      <c r="H725" s="47" t="s">
        <v>36</v>
      </c>
      <c r="I725" s="48">
        <v>45178</v>
      </c>
      <c r="J725">
        <v>69</v>
      </c>
      <c r="K725">
        <v>3.9</v>
      </c>
      <c r="L725">
        <f>IF(MONTH(calls[[#This Row],[Date of Call]])&lt;=6,YEAR(calls[[#This Row],[Date of Call]]),YEAR(calls[[#This Row],[Date of Call]])+1)</f>
        <v>2024</v>
      </c>
      <c r="M725" t="str">
        <f>TEXT(calls[[#This Row],[Date of Call]],"DDDD")</f>
        <v>Saturday</v>
      </c>
      <c r="N725" t="str" cm="1">
        <f t="array" ref="N72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25">
        <f>ROUND(calls[[#This Row],[Satisfaction Rating]],0)</f>
        <v>4</v>
      </c>
      <c r="P725" s="53">
        <f t="shared" si="11"/>
        <v>307</v>
      </c>
    </row>
    <row r="726" spans="2:16">
      <c r="B726" t="s">
        <v>806</v>
      </c>
      <c r="C726" t="s">
        <v>68</v>
      </c>
      <c r="D726" s="46" t="str" cm="1">
        <f t="array" ref="D726">_xlfn.XLOOKUP(C726,customers[Customer ID],customers[Gender],"")</f>
        <v>Female</v>
      </c>
      <c r="E726" s="46" cm="1">
        <f t="array" ref="E726">_xlfn.XLOOKUP(C726,customers[Customer ID],customers[Age],"")</f>
        <v>43</v>
      </c>
      <c r="F726" s="46" t="str" cm="1">
        <f t="array" ref="F726">_xlfn.XLOOKUP(C726,customers[Customer ID],customers[City],"")</f>
        <v>Cleveland</v>
      </c>
      <c r="G726">
        <v>124</v>
      </c>
      <c r="H726" s="47" t="s">
        <v>40</v>
      </c>
      <c r="I726" s="48">
        <v>45179</v>
      </c>
      <c r="J726">
        <v>46</v>
      </c>
      <c r="K726">
        <v>3.1</v>
      </c>
      <c r="L726">
        <f>IF(MONTH(calls[[#This Row],[Date of Call]])&lt;=6,YEAR(calls[[#This Row],[Date of Call]]),YEAR(calls[[#This Row],[Date of Call]])+1)</f>
        <v>2024</v>
      </c>
      <c r="M726" t="str">
        <f>TEXT(calls[[#This Row],[Date of Call]],"DDDD")</f>
        <v>Sunday</v>
      </c>
      <c r="N726" t="str" cm="1">
        <f t="array" ref="N72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26">
        <f>ROUND(calls[[#This Row],[Satisfaction Rating]],0)</f>
        <v>3</v>
      </c>
      <c r="P726" s="53">
        <f t="shared" si="11"/>
        <v>307</v>
      </c>
    </row>
    <row r="727" spans="2:16">
      <c r="B727" t="s">
        <v>807</v>
      </c>
      <c r="C727" t="s">
        <v>69</v>
      </c>
      <c r="D727" s="46" t="str" cm="1">
        <f t="array" ref="D727">_xlfn.XLOOKUP(C727,customers[Customer ID],customers[Gender],"")</f>
        <v>Male</v>
      </c>
      <c r="E727" s="46" cm="1">
        <f t="array" ref="E727">_xlfn.XLOOKUP(C727,customers[Customer ID],customers[Age],"")</f>
        <v>41</v>
      </c>
      <c r="F727" s="46" t="str" cm="1">
        <f t="array" ref="F727">_xlfn.XLOOKUP(C727,customers[Customer ID],customers[City],"")</f>
        <v>Columbus</v>
      </c>
      <c r="G727">
        <v>156</v>
      </c>
      <c r="H727" s="47" t="s">
        <v>38</v>
      </c>
      <c r="I727" s="48">
        <v>45179</v>
      </c>
      <c r="J727">
        <v>64</v>
      </c>
      <c r="K727">
        <v>2.7</v>
      </c>
      <c r="L727">
        <f>IF(MONTH(calls[[#This Row],[Date of Call]])&lt;=6,YEAR(calls[[#This Row],[Date of Call]]),YEAR(calls[[#This Row],[Date of Call]])+1)</f>
        <v>2024</v>
      </c>
      <c r="M727" t="str">
        <f>TEXT(calls[[#This Row],[Date of Call]],"DDDD")</f>
        <v>Sunday</v>
      </c>
      <c r="N727" t="str" cm="1">
        <f t="array" ref="N72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27">
        <f>ROUND(calls[[#This Row],[Satisfaction Rating]],0)</f>
        <v>3</v>
      </c>
      <c r="P727" s="53">
        <f t="shared" si="11"/>
        <v>307</v>
      </c>
    </row>
    <row r="728" spans="2:16">
      <c r="B728" t="s">
        <v>808</v>
      </c>
      <c r="C728" t="s">
        <v>66</v>
      </c>
      <c r="D728" s="46" t="str" cm="1">
        <f t="array" ref="D728">_xlfn.XLOOKUP(C728,customers[Customer ID],customers[Gender],"")</f>
        <v>Female</v>
      </c>
      <c r="E728" s="46" cm="1">
        <f t="array" ref="E728">_xlfn.XLOOKUP(C728,customers[Customer ID],customers[Age],"")</f>
        <v>30</v>
      </c>
      <c r="F728" s="46" t="str" cm="1">
        <f t="array" ref="F728">_xlfn.XLOOKUP(C728,customers[Customer ID],customers[City],"")</f>
        <v>Cleveland</v>
      </c>
      <c r="G728">
        <v>107</v>
      </c>
      <c r="H728" s="47" t="s">
        <v>37</v>
      </c>
      <c r="I728" s="48">
        <v>45179</v>
      </c>
      <c r="J728">
        <v>38</v>
      </c>
      <c r="K728">
        <v>4.7</v>
      </c>
      <c r="L728">
        <f>IF(MONTH(calls[[#This Row],[Date of Call]])&lt;=6,YEAR(calls[[#This Row],[Date of Call]]),YEAR(calls[[#This Row],[Date of Call]])+1)</f>
        <v>2024</v>
      </c>
      <c r="M728" t="str">
        <f>TEXT(calls[[#This Row],[Date of Call]],"DDDD")</f>
        <v>Sunday</v>
      </c>
      <c r="N728" t="str" cm="1">
        <f t="array" ref="N7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28">
        <f>ROUND(calls[[#This Row],[Satisfaction Rating]],0)</f>
        <v>5</v>
      </c>
      <c r="P728" s="53">
        <f t="shared" si="11"/>
        <v>307</v>
      </c>
    </row>
    <row r="729" spans="2:16">
      <c r="B729" t="s">
        <v>809</v>
      </c>
      <c r="C729" t="s">
        <v>59</v>
      </c>
      <c r="D729" s="46" t="str" cm="1">
        <f t="array" ref="D729">_xlfn.XLOOKUP(C729,customers[Customer ID],customers[Gender],"")</f>
        <v>Male</v>
      </c>
      <c r="E729" s="46" cm="1">
        <f t="array" ref="E729">_xlfn.XLOOKUP(C729,customers[Customer ID],customers[Age],"")</f>
        <v>26</v>
      </c>
      <c r="F729" s="46" t="str" cm="1">
        <f t="array" ref="F729">_xlfn.XLOOKUP(C729,customers[Customer ID],customers[City],"")</f>
        <v>Cincinnati</v>
      </c>
      <c r="G729">
        <v>58</v>
      </c>
      <c r="H729" s="47" t="s">
        <v>37</v>
      </c>
      <c r="I729" s="48">
        <v>45181</v>
      </c>
      <c r="J729">
        <v>90</v>
      </c>
      <c r="K729">
        <v>4.3</v>
      </c>
      <c r="L729">
        <f>IF(MONTH(calls[[#This Row],[Date of Call]])&lt;=6,YEAR(calls[[#This Row],[Date of Call]]),YEAR(calls[[#This Row],[Date of Call]])+1)</f>
        <v>2024</v>
      </c>
      <c r="M729" t="str">
        <f>TEXT(calls[[#This Row],[Date of Call]],"DDDD")</f>
        <v>Tuesday</v>
      </c>
      <c r="N729" t="str" cm="1">
        <f t="array" ref="N72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29">
        <f>ROUND(calls[[#This Row],[Satisfaction Rating]],0)</f>
        <v>4</v>
      </c>
      <c r="P729" s="53">
        <f t="shared" si="11"/>
        <v>307</v>
      </c>
    </row>
    <row r="730" spans="2:16">
      <c r="B730" t="s">
        <v>810</v>
      </c>
      <c r="C730" t="s">
        <v>67</v>
      </c>
      <c r="D730" s="46" t="str" cm="1">
        <f t="array" ref="D730">_xlfn.XLOOKUP(C730,customers[Customer ID],customers[Gender],"")</f>
        <v>Female</v>
      </c>
      <c r="E730" s="46" cm="1">
        <f t="array" ref="E730">_xlfn.XLOOKUP(C730,customers[Customer ID],customers[Age],"")</f>
        <v>37</v>
      </c>
      <c r="F730" s="46" t="str" cm="1">
        <f t="array" ref="F730">_xlfn.XLOOKUP(C730,customers[Customer ID],customers[City],"")</f>
        <v>Cleveland</v>
      </c>
      <c r="G730">
        <v>66</v>
      </c>
      <c r="H730" s="47" t="s">
        <v>37</v>
      </c>
      <c r="I730" s="48">
        <v>45181</v>
      </c>
      <c r="J730">
        <v>32</v>
      </c>
      <c r="K730">
        <v>3.8</v>
      </c>
      <c r="L730">
        <f>IF(MONTH(calls[[#This Row],[Date of Call]])&lt;=6,YEAR(calls[[#This Row],[Date of Call]]),YEAR(calls[[#This Row],[Date of Call]])+1)</f>
        <v>2024</v>
      </c>
      <c r="M730" t="str">
        <f>TEXT(calls[[#This Row],[Date of Call]],"DDDD")</f>
        <v>Tuesday</v>
      </c>
      <c r="N730" t="str" cm="1">
        <f t="array" ref="N73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30">
        <f>ROUND(calls[[#This Row],[Satisfaction Rating]],0)</f>
        <v>4</v>
      </c>
      <c r="P730" s="53">
        <f t="shared" si="11"/>
        <v>307</v>
      </c>
    </row>
    <row r="731" spans="2:16">
      <c r="B731" t="s">
        <v>811</v>
      </c>
      <c r="C731" t="s">
        <v>63</v>
      </c>
      <c r="D731" s="46" t="str" cm="1">
        <f t="array" ref="D731">_xlfn.XLOOKUP(C731,customers[Customer ID],customers[Gender],"")</f>
        <v>Male</v>
      </c>
      <c r="E731" s="46" cm="1">
        <f t="array" ref="E731">_xlfn.XLOOKUP(C731,customers[Customer ID],customers[Age],"")</f>
        <v>31</v>
      </c>
      <c r="F731" s="46" t="str" cm="1">
        <f t="array" ref="F731">_xlfn.XLOOKUP(C731,customers[Customer ID],customers[City],"")</f>
        <v>Cleveland</v>
      </c>
      <c r="G731">
        <v>75</v>
      </c>
      <c r="H731" s="47" t="s">
        <v>38</v>
      </c>
      <c r="I731" s="48">
        <v>45181</v>
      </c>
      <c r="J731">
        <v>120</v>
      </c>
      <c r="K731">
        <v>4.4</v>
      </c>
      <c r="L731">
        <f>IF(MONTH(calls[[#This Row],[Date of Call]])&lt;=6,YEAR(calls[[#This Row],[Date of Call]]),YEAR(calls[[#This Row],[Date of Call]])+1)</f>
        <v>2024</v>
      </c>
      <c r="M731" t="str">
        <f>TEXT(calls[[#This Row],[Date of Call]],"DDDD")</f>
        <v>Tuesday</v>
      </c>
      <c r="N731" t="str" cm="1">
        <f t="array" ref="N73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31">
        <f>ROUND(calls[[#This Row],[Satisfaction Rating]],0)</f>
        <v>4</v>
      </c>
      <c r="P731" s="53">
        <f t="shared" si="11"/>
        <v>307</v>
      </c>
    </row>
    <row r="732" spans="2:16">
      <c r="B732" t="s">
        <v>812</v>
      </c>
      <c r="C732" t="s">
        <v>66</v>
      </c>
      <c r="D732" s="46" t="str" cm="1">
        <f t="array" ref="D732">_xlfn.XLOOKUP(C732,customers[Customer ID],customers[Gender],"")</f>
        <v>Female</v>
      </c>
      <c r="E732" s="46" cm="1">
        <f t="array" ref="E732">_xlfn.XLOOKUP(C732,customers[Customer ID],customers[Age],"")</f>
        <v>30</v>
      </c>
      <c r="F732" s="46" t="str" cm="1">
        <f t="array" ref="F732">_xlfn.XLOOKUP(C732,customers[Customer ID],customers[City],"")</f>
        <v>Cleveland</v>
      </c>
      <c r="G732">
        <v>8</v>
      </c>
      <c r="H732" s="47" t="s">
        <v>37</v>
      </c>
      <c r="I732" s="48">
        <v>45181</v>
      </c>
      <c r="J732">
        <v>31</v>
      </c>
      <c r="K732">
        <v>3.9</v>
      </c>
      <c r="L732">
        <f>IF(MONTH(calls[[#This Row],[Date of Call]])&lt;=6,YEAR(calls[[#This Row],[Date of Call]]),YEAR(calls[[#This Row],[Date of Call]])+1)</f>
        <v>2024</v>
      </c>
      <c r="M732" t="str">
        <f>TEXT(calls[[#This Row],[Date of Call]],"DDDD")</f>
        <v>Tuesday</v>
      </c>
      <c r="N732" t="str" cm="1">
        <f t="array" ref="N732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O732">
        <f>ROUND(calls[[#This Row],[Satisfaction Rating]],0)</f>
        <v>4</v>
      </c>
      <c r="P732" s="53">
        <f t="shared" si="11"/>
        <v>307</v>
      </c>
    </row>
    <row r="733" spans="2:16">
      <c r="B733" t="s">
        <v>813</v>
      </c>
      <c r="C733" t="s">
        <v>70</v>
      </c>
      <c r="D733" s="46" t="str" cm="1">
        <f t="array" ref="D733">_xlfn.XLOOKUP(C733,customers[Customer ID],customers[Gender],"")</f>
        <v>Male</v>
      </c>
      <c r="E733" s="46" cm="1">
        <f t="array" ref="E733">_xlfn.XLOOKUP(C733,customers[Customer ID],customers[Age],"")</f>
        <v>37</v>
      </c>
      <c r="F733" s="46" t="str" cm="1">
        <f t="array" ref="F733">_xlfn.XLOOKUP(C733,customers[Customer ID],customers[City],"")</f>
        <v>Columbus</v>
      </c>
      <c r="G733">
        <v>76</v>
      </c>
      <c r="H733" s="47" t="s">
        <v>38</v>
      </c>
      <c r="I733" s="48">
        <v>45182</v>
      </c>
      <c r="J733">
        <v>108</v>
      </c>
      <c r="K733">
        <v>4.9</v>
      </c>
      <c r="L733">
        <f>IF(MONTH(calls[[#This Row],[Date of Call]])&lt;=6,YEAR(calls[[#This Row],[Date of Call]]),YEAR(calls[[#This Row],[Date of Call]])+1)</f>
        <v>2024</v>
      </c>
      <c r="M733" t="str">
        <f>TEXT(calls[[#This Row],[Date of Call]],"DDDD")</f>
        <v>Wednesday</v>
      </c>
      <c r="N733" t="str" cm="1">
        <f t="array" ref="N73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33">
        <f>ROUND(calls[[#This Row],[Satisfaction Rating]],0)</f>
        <v>5</v>
      </c>
      <c r="P733" s="53">
        <f t="shared" si="11"/>
        <v>307</v>
      </c>
    </row>
    <row r="734" spans="2:16">
      <c r="B734" t="s">
        <v>814</v>
      </c>
      <c r="C734" t="s">
        <v>59</v>
      </c>
      <c r="D734" s="46" t="str" cm="1">
        <f t="array" ref="D734">_xlfn.XLOOKUP(C734,customers[Customer ID],customers[Gender],"")</f>
        <v>Male</v>
      </c>
      <c r="E734" s="46" cm="1">
        <f t="array" ref="E734">_xlfn.XLOOKUP(C734,customers[Customer ID],customers[Age],"")</f>
        <v>26</v>
      </c>
      <c r="F734" s="46" t="str" cm="1">
        <f t="array" ref="F734">_xlfn.XLOOKUP(C734,customers[Customer ID],customers[City],"")</f>
        <v>Cincinnati</v>
      </c>
      <c r="G734">
        <v>110</v>
      </c>
      <c r="H734" s="47" t="s">
        <v>38</v>
      </c>
      <c r="I734" s="48">
        <v>45182</v>
      </c>
      <c r="J734">
        <v>180</v>
      </c>
      <c r="K734">
        <v>4.2</v>
      </c>
      <c r="L734">
        <f>IF(MONTH(calls[[#This Row],[Date of Call]])&lt;=6,YEAR(calls[[#This Row],[Date of Call]]),YEAR(calls[[#This Row],[Date of Call]])+1)</f>
        <v>2024</v>
      </c>
      <c r="M734" t="str">
        <f>TEXT(calls[[#This Row],[Date of Call]],"DDDD")</f>
        <v>Wednesday</v>
      </c>
      <c r="N734" t="str" cm="1">
        <f t="array" ref="N73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34">
        <f>ROUND(calls[[#This Row],[Satisfaction Rating]],0)</f>
        <v>4</v>
      </c>
      <c r="P734" s="53">
        <f t="shared" si="11"/>
        <v>307</v>
      </c>
    </row>
    <row r="735" spans="2:16">
      <c r="B735" t="s">
        <v>815</v>
      </c>
      <c r="C735" t="s">
        <v>67</v>
      </c>
      <c r="D735" s="46" t="str" cm="1">
        <f t="array" ref="D735">_xlfn.XLOOKUP(C735,customers[Customer ID],customers[Gender],"")</f>
        <v>Female</v>
      </c>
      <c r="E735" s="46" cm="1">
        <f t="array" ref="E735">_xlfn.XLOOKUP(C735,customers[Customer ID],customers[Age],"")</f>
        <v>37</v>
      </c>
      <c r="F735" s="46" t="str" cm="1">
        <f t="array" ref="F735">_xlfn.XLOOKUP(C735,customers[Customer ID],customers[City],"")</f>
        <v>Cleveland</v>
      </c>
      <c r="G735">
        <v>50</v>
      </c>
      <c r="H735" s="47" t="s">
        <v>36</v>
      </c>
      <c r="I735" s="48">
        <v>45183</v>
      </c>
      <c r="J735">
        <v>124</v>
      </c>
      <c r="K735">
        <v>4</v>
      </c>
      <c r="L735">
        <f>IF(MONTH(calls[[#This Row],[Date of Call]])&lt;=6,YEAR(calls[[#This Row],[Date of Call]]),YEAR(calls[[#This Row],[Date of Call]])+1)</f>
        <v>2024</v>
      </c>
      <c r="M735" t="str">
        <f>TEXT(calls[[#This Row],[Date of Call]],"DDDD")</f>
        <v>Thursday</v>
      </c>
      <c r="N735" t="str" cm="1">
        <f t="array" ref="N73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35">
        <f>ROUND(calls[[#This Row],[Satisfaction Rating]],0)</f>
        <v>4</v>
      </c>
      <c r="P735" s="53">
        <f t="shared" si="11"/>
        <v>307</v>
      </c>
    </row>
    <row r="736" spans="2:16">
      <c r="B736" t="s">
        <v>816</v>
      </c>
      <c r="C736" t="s">
        <v>64</v>
      </c>
      <c r="D736" s="46" t="str" cm="1">
        <f t="array" ref="D736">_xlfn.XLOOKUP(C736,customers[Customer ID],customers[Gender],"")</f>
        <v>Female</v>
      </c>
      <c r="E736" s="46" cm="1">
        <f t="array" ref="E736">_xlfn.XLOOKUP(C736,customers[Customer ID],customers[Age],"")</f>
        <v>22</v>
      </c>
      <c r="F736" s="46" t="str" cm="1">
        <f t="array" ref="F736">_xlfn.XLOOKUP(C736,customers[Customer ID],customers[City],"")</f>
        <v>Cleveland</v>
      </c>
      <c r="G736">
        <v>78</v>
      </c>
      <c r="H736" s="47" t="s">
        <v>36</v>
      </c>
      <c r="I736" s="48">
        <v>45183</v>
      </c>
      <c r="J736">
        <v>23</v>
      </c>
      <c r="K736">
        <v>4.2</v>
      </c>
      <c r="L736">
        <f>IF(MONTH(calls[[#This Row],[Date of Call]])&lt;=6,YEAR(calls[[#This Row],[Date of Call]]),YEAR(calls[[#This Row],[Date of Call]])+1)</f>
        <v>2024</v>
      </c>
      <c r="M736" t="str">
        <f>TEXT(calls[[#This Row],[Date of Call]],"DDDD")</f>
        <v>Thursday</v>
      </c>
      <c r="N736" t="str" cm="1">
        <f t="array" ref="N73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36">
        <f>ROUND(calls[[#This Row],[Satisfaction Rating]],0)</f>
        <v>4</v>
      </c>
      <c r="P736" s="53">
        <f t="shared" si="11"/>
        <v>307</v>
      </c>
    </row>
    <row r="737" spans="2:16">
      <c r="B737" t="s">
        <v>817</v>
      </c>
      <c r="C737" t="s">
        <v>62</v>
      </c>
      <c r="D737" s="46" t="str" cm="1">
        <f t="array" ref="D737">_xlfn.XLOOKUP(C737,customers[Customer ID],customers[Gender],"")</f>
        <v>Female</v>
      </c>
      <c r="E737" s="46" cm="1">
        <f t="array" ref="E737">_xlfn.XLOOKUP(C737,customers[Customer ID],customers[Age],"")</f>
        <v>28</v>
      </c>
      <c r="F737" s="46" t="str" cm="1">
        <f t="array" ref="F737">_xlfn.XLOOKUP(C737,customers[Customer ID],customers[City],"")</f>
        <v>Cincinnati</v>
      </c>
      <c r="G737">
        <v>59</v>
      </c>
      <c r="H737" s="47" t="s">
        <v>40</v>
      </c>
      <c r="I737" s="48">
        <v>45184</v>
      </c>
      <c r="J737">
        <v>24</v>
      </c>
      <c r="K737">
        <v>4.8</v>
      </c>
      <c r="L737">
        <f>IF(MONTH(calls[[#This Row],[Date of Call]])&lt;=6,YEAR(calls[[#This Row],[Date of Call]]),YEAR(calls[[#This Row],[Date of Call]])+1)</f>
        <v>2024</v>
      </c>
      <c r="M737" t="str">
        <f>TEXT(calls[[#This Row],[Date of Call]],"DDDD")</f>
        <v>Friday</v>
      </c>
      <c r="N737" t="str" cm="1">
        <f t="array" ref="N73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37">
        <f>ROUND(calls[[#This Row],[Satisfaction Rating]],0)</f>
        <v>5</v>
      </c>
      <c r="P737" s="53">
        <f t="shared" si="11"/>
        <v>307</v>
      </c>
    </row>
    <row r="738" spans="2:16">
      <c r="B738" t="s">
        <v>818</v>
      </c>
      <c r="C738" t="s">
        <v>64</v>
      </c>
      <c r="D738" s="46" t="str" cm="1">
        <f t="array" ref="D738">_xlfn.XLOOKUP(C738,customers[Customer ID],customers[Gender],"")</f>
        <v>Female</v>
      </c>
      <c r="E738" s="46" cm="1">
        <f t="array" ref="E738">_xlfn.XLOOKUP(C738,customers[Customer ID],customers[Age],"")</f>
        <v>22</v>
      </c>
      <c r="F738" s="46" t="str" cm="1">
        <f t="array" ref="F738">_xlfn.XLOOKUP(C738,customers[Customer ID],customers[City],"")</f>
        <v>Cleveland</v>
      </c>
      <c r="G738">
        <v>126</v>
      </c>
      <c r="H738" s="47" t="s">
        <v>37</v>
      </c>
      <c r="I738" s="48">
        <v>45185</v>
      </c>
      <c r="J738">
        <v>52</v>
      </c>
      <c r="K738">
        <v>1.1</v>
      </c>
      <c r="L738">
        <f>IF(MONTH(calls[[#This Row],[Date of Call]])&lt;=6,YEAR(calls[[#This Row],[Date of Call]]),YEAR(calls[[#This Row],[Date of Call]])+1)</f>
        <v>2024</v>
      </c>
      <c r="M738" t="str">
        <f>TEXT(calls[[#This Row],[Date of Call]],"DDDD")</f>
        <v>Saturday</v>
      </c>
      <c r="N738" t="str" cm="1">
        <f t="array" ref="N73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38">
        <f>ROUND(calls[[#This Row],[Satisfaction Rating]],0)</f>
        <v>1</v>
      </c>
      <c r="P738" s="53">
        <f t="shared" si="11"/>
        <v>307</v>
      </c>
    </row>
    <row r="739" spans="2:16">
      <c r="B739" t="s">
        <v>819</v>
      </c>
      <c r="C739" t="s">
        <v>70</v>
      </c>
      <c r="D739" s="46" t="str" cm="1">
        <f t="array" ref="D739">_xlfn.XLOOKUP(C739,customers[Customer ID],customers[Gender],"")</f>
        <v>Male</v>
      </c>
      <c r="E739" s="46" cm="1">
        <f t="array" ref="E739">_xlfn.XLOOKUP(C739,customers[Customer ID],customers[Age],"")</f>
        <v>37</v>
      </c>
      <c r="F739" s="46" t="str" cm="1">
        <f t="array" ref="F739">_xlfn.XLOOKUP(C739,customers[Customer ID],customers[City],"")</f>
        <v>Columbus</v>
      </c>
      <c r="G739">
        <v>43</v>
      </c>
      <c r="H739" s="47" t="s">
        <v>40</v>
      </c>
      <c r="I739" s="48">
        <v>45186</v>
      </c>
      <c r="J739">
        <v>168</v>
      </c>
      <c r="K739">
        <v>4</v>
      </c>
      <c r="L739">
        <f>IF(MONTH(calls[[#This Row],[Date of Call]])&lt;=6,YEAR(calls[[#This Row],[Date of Call]]),YEAR(calls[[#This Row],[Date of Call]])+1)</f>
        <v>2024</v>
      </c>
      <c r="M739" t="str">
        <f>TEXT(calls[[#This Row],[Date of Call]],"DDDD")</f>
        <v>Sunday</v>
      </c>
      <c r="N739" t="str" cm="1">
        <f t="array" ref="N73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39">
        <f>ROUND(calls[[#This Row],[Satisfaction Rating]],0)</f>
        <v>4</v>
      </c>
      <c r="P739" s="53">
        <f t="shared" si="11"/>
        <v>307</v>
      </c>
    </row>
    <row r="740" spans="2:16">
      <c r="B740" t="s">
        <v>820</v>
      </c>
      <c r="C740" t="s">
        <v>69</v>
      </c>
      <c r="D740" s="46" t="str" cm="1">
        <f t="array" ref="D740">_xlfn.XLOOKUP(C740,customers[Customer ID],customers[Gender],"")</f>
        <v>Male</v>
      </c>
      <c r="E740" s="46" cm="1">
        <f t="array" ref="E740">_xlfn.XLOOKUP(C740,customers[Customer ID],customers[Age],"")</f>
        <v>41</v>
      </c>
      <c r="F740" s="46" t="str" cm="1">
        <f t="array" ref="F740">_xlfn.XLOOKUP(C740,customers[Customer ID],customers[City],"")</f>
        <v>Columbus</v>
      </c>
      <c r="G740">
        <v>79</v>
      </c>
      <c r="H740" s="47" t="s">
        <v>38</v>
      </c>
      <c r="I740" s="48">
        <v>45188</v>
      </c>
      <c r="J740">
        <v>125</v>
      </c>
      <c r="K740">
        <v>4.8</v>
      </c>
      <c r="L740">
        <f>IF(MONTH(calls[[#This Row],[Date of Call]])&lt;=6,YEAR(calls[[#This Row],[Date of Call]]),YEAR(calls[[#This Row],[Date of Call]])+1)</f>
        <v>2024</v>
      </c>
      <c r="M740" t="str">
        <f>TEXT(calls[[#This Row],[Date of Call]],"DDDD")</f>
        <v>Tuesday</v>
      </c>
      <c r="N740" t="str" cm="1">
        <f t="array" ref="N7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40">
        <f>ROUND(calls[[#This Row],[Satisfaction Rating]],0)</f>
        <v>5</v>
      </c>
      <c r="P740" s="53">
        <f t="shared" si="11"/>
        <v>307</v>
      </c>
    </row>
    <row r="741" spans="2:16">
      <c r="B741" t="s">
        <v>821</v>
      </c>
      <c r="C741" t="s">
        <v>59</v>
      </c>
      <c r="D741" s="46" t="str" cm="1">
        <f t="array" ref="D741">_xlfn.XLOOKUP(C741,customers[Customer ID],customers[Gender],"")</f>
        <v>Male</v>
      </c>
      <c r="E741" s="46" cm="1">
        <f t="array" ref="E741">_xlfn.XLOOKUP(C741,customers[Customer ID],customers[Age],"")</f>
        <v>26</v>
      </c>
      <c r="F741" s="46" t="str" cm="1">
        <f t="array" ref="F741">_xlfn.XLOOKUP(C741,customers[Customer ID],customers[City],"")</f>
        <v>Cincinnati</v>
      </c>
      <c r="G741">
        <v>71</v>
      </c>
      <c r="H741" s="47" t="s">
        <v>40</v>
      </c>
      <c r="I741" s="48">
        <v>45189</v>
      </c>
      <c r="J741">
        <v>50</v>
      </c>
      <c r="K741">
        <v>4.2</v>
      </c>
      <c r="L741">
        <f>IF(MONTH(calls[[#This Row],[Date of Call]])&lt;=6,YEAR(calls[[#This Row],[Date of Call]]),YEAR(calls[[#This Row],[Date of Call]])+1)</f>
        <v>2024</v>
      </c>
      <c r="M741" t="str">
        <f>TEXT(calls[[#This Row],[Date of Call]],"DDDD")</f>
        <v>Wednesday</v>
      </c>
      <c r="N741" t="str" cm="1">
        <f t="array" ref="N7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41">
        <f>ROUND(calls[[#This Row],[Satisfaction Rating]],0)</f>
        <v>4</v>
      </c>
      <c r="P741" s="53">
        <f t="shared" si="11"/>
        <v>307</v>
      </c>
    </row>
    <row r="742" spans="2:16">
      <c r="B742" t="s">
        <v>822</v>
      </c>
      <c r="C742" t="s">
        <v>72</v>
      </c>
      <c r="D742" s="46" t="str" cm="1">
        <f t="array" ref="D742">_xlfn.XLOOKUP(C742,customers[Customer ID],customers[Gender],"")</f>
        <v>Female</v>
      </c>
      <c r="E742" s="46" cm="1">
        <f t="array" ref="E742">_xlfn.XLOOKUP(C742,customers[Customer ID],customers[Age],"")</f>
        <v>25</v>
      </c>
      <c r="F742" s="46" t="str" cm="1">
        <f t="array" ref="F742">_xlfn.XLOOKUP(C742,customers[Customer ID],customers[City],"")</f>
        <v>Columbus</v>
      </c>
      <c r="G742">
        <v>94</v>
      </c>
      <c r="H742" s="47" t="s">
        <v>37</v>
      </c>
      <c r="I742" s="48">
        <v>45190</v>
      </c>
      <c r="J742">
        <v>220</v>
      </c>
      <c r="K742">
        <v>4.6</v>
      </c>
      <c r="L742">
        <f>IF(MONTH(calls[[#This Row],[Date of Call]])&lt;=6,YEAR(calls[[#This Row],[Date of Call]]),YEAR(calls[[#This Row],[Date of Call]])+1)</f>
        <v>2024</v>
      </c>
      <c r="M742" t="str">
        <f>TEXT(calls[[#This Row],[Date of Call]],"DDDD")</f>
        <v>Thursday</v>
      </c>
      <c r="N742" t="str" cm="1">
        <f t="array" ref="N7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42">
        <f>ROUND(calls[[#This Row],[Satisfaction Rating]],0)</f>
        <v>5</v>
      </c>
      <c r="P742" s="53">
        <f t="shared" si="11"/>
        <v>307</v>
      </c>
    </row>
    <row r="743" spans="2:16">
      <c r="B743" t="s">
        <v>823</v>
      </c>
      <c r="C743" t="s">
        <v>66</v>
      </c>
      <c r="D743" s="46" t="str" cm="1">
        <f t="array" ref="D743">_xlfn.XLOOKUP(C743,customers[Customer ID],customers[Gender],"")</f>
        <v>Female</v>
      </c>
      <c r="E743" s="46" cm="1">
        <f t="array" ref="E743">_xlfn.XLOOKUP(C743,customers[Customer ID],customers[Age],"")</f>
        <v>30</v>
      </c>
      <c r="F743" s="46" t="str" cm="1">
        <f t="array" ref="F743">_xlfn.XLOOKUP(C743,customers[Customer ID],customers[City],"")</f>
        <v>Cleveland</v>
      </c>
      <c r="G743">
        <v>108</v>
      </c>
      <c r="H743" s="47" t="s">
        <v>40</v>
      </c>
      <c r="I743" s="48">
        <v>45190</v>
      </c>
      <c r="J743">
        <v>180</v>
      </c>
      <c r="K743">
        <v>4</v>
      </c>
      <c r="L743">
        <f>IF(MONTH(calls[[#This Row],[Date of Call]])&lt;=6,YEAR(calls[[#This Row],[Date of Call]]),YEAR(calls[[#This Row],[Date of Call]])+1)</f>
        <v>2024</v>
      </c>
      <c r="M743" t="str">
        <f>TEXT(calls[[#This Row],[Date of Call]],"DDDD")</f>
        <v>Thursday</v>
      </c>
      <c r="N743" t="str" cm="1">
        <f t="array" ref="N7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43">
        <f>ROUND(calls[[#This Row],[Satisfaction Rating]],0)</f>
        <v>4</v>
      </c>
      <c r="P743" s="53">
        <f t="shared" si="11"/>
        <v>307</v>
      </c>
    </row>
    <row r="744" spans="2:16">
      <c r="B744" t="s">
        <v>824</v>
      </c>
      <c r="C744" t="s">
        <v>70</v>
      </c>
      <c r="D744" s="46" t="str" cm="1">
        <f t="array" ref="D744">_xlfn.XLOOKUP(C744,customers[Customer ID],customers[Gender],"")</f>
        <v>Male</v>
      </c>
      <c r="E744" s="46" cm="1">
        <f t="array" ref="E744">_xlfn.XLOOKUP(C744,customers[Customer ID],customers[Age],"")</f>
        <v>37</v>
      </c>
      <c r="F744" s="46" t="str" cm="1">
        <f t="array" ref="F744">_xlfn.XLOOKUP(C744,customers[Customer ID],customers[City],"")</f>
        <v>Columbus</v>
      </c>
      <c r="G744">
        <v>76</v>
      </c>
      <c r="H744" s="47" t="s">
        <v>37</v>
      </c>
      <c r="I744" s="48">
        <v>45190</v>
      </c>
      <c r="J744">
        <v>110</v>
      </c>
      <c r="K744">
        <v>3.9</v>
      </c>
      <c r="L744">
        <f>IF(MONTH(calls[[#This Row],[Date of Call]])&lt;=6,YEAR(calls[[#This Row],[Date of Call]]),YEAR(calls[[#This Row],[Date of Call]])+1)</f>
        <v>2024</v>
      </c>
      <c r="M744" t="str">
        <f>TEXT(calls[[#This Row],[Date of Call]],"DDDD")</f>
        <v>Thursday</v>
      </c>
      <c r="N744" t="str" cm="1">
        <f t="array" ref="N7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44">
        <f>ROUND(calls[[#This Row],[Satisfaction Rating]],0)</f>
        <v>4</v>
      </c>
      <c r="P744" s="53">
        <f t="shared" si="11"/>
        <v>307</v>
      </c>
    </row>
    <row r="745" spans="2:16">
      <c r="B745" t="s">
        <v>825</v>
      </c>
      <c r="C745" t="s">
        <v>62</v>
      </c>
      <c r="D745" s="46" t="str" cm="1">
        <f t="array" ref="D745">_xlfn.XLOOKUP(C745,customers[Customer ID],customers[Gender],"")</f>
        <v>Female</v>
      </c>
      <c r="E745" s="46" cm="1">
        <f t="array" ref="E745">_xlfn.XLOOKUP(C745,customers[Customer ID],customers[Age],"")</f>
        <v>28</v>
      </c>
      <c r="F745" s="46" t="str" cm="1">
        <f t="array" ref="F745">_xlfn.XLOOKUP(C745,customers[Customer ID],customers[City],"")</f>
        <v>Cincinnati</v>
      </c>
      <c r="G745">
        <v>136</v>
      </c>
      <c r="H745" s="47" t="s">
        <v>40</v>
      </c>
      <c r="I745" s="48">
        <v>45190</v>
      </c>
      <c r="J745">
        <v>36</v>
      </c>
      <c r="K745">
        <v>2.8</v>
      </c>
      <c r="L745">
        <f>IF(MONTH(calls[[#This Row],[Date of Call]])&lt;=6,YEAR(calls[[#This Row],[Date of Call]]),YEAR(calls[[#This Row],[Date of Call]])+1)</f>
        <v>2024</v>
      </c>
      <c r="M745" t="str">
        <f>TEXT(calls[[#This Row],[Date of Call]],"DDDD")</f>
        <v>Thursday</v>
      </c>
      <c r="N745" t="str" cm="1">
        <f t="array" ref="N74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45">
        <f>ROUND(calls[[#This Row],[Satisfaction Rating]],0)</f>
        <v>3</v>
      </c>
      <c r="P745" s="53">
        <f t="shared" si="11"/>
        <v>307</v>
      </c>
    </row>
    <row r="746" spans="2:16">
      <c r="B746" t="s">
        <v>826</v>
      </c>
      <c r="C746" t="s">
        <v>60</v>
      </c>
      <c r="D746" s="46" t="str" cm="1">
        <f t="array" ref="D746">_xlfn.XLOOKUP(C746,customers[Customer ID],customers[Gender],"")</f>
        <v>Male</v>
      </c>
      <c r="E746" s="46" cm="1">
        <f t="array" ref="E746">_xlfn.XLOOKUP(C746,customers[Customer ID],customers[Age],"")</f>
        <v>36</v>
      </c>
      <c r="F746" s="46" t="str" cm="1">
        <f t="array" ref="F746">_xlfn.XLOOKUP(C746,customers[Customer ID],customers[City],"")</f>
        <v>Cincinnati</v>
      </c>
      <c r="G746">
        <v>129</v>
      </c>
      <c r="H746" s="47" t="s">
        <v>36</v>
      </c>
      <c r="I746" s="48">
        <v>45191</v>
      </c>
      <c r="J746">
        <v>93</v>
      </c>
      <c r="K746">
        <v>4.7</v>
      </c>
      <c r="L746">
        <f>IF(MONTH(calls[[#This Row],[Date of Call]])&lt;=6,YEAR(calls[[#This Row],[Date of Call]]),YEAR(calls[[#This Row],[Date of Call]])+1)</f>
        <v>2024</v>
      </c>
      <c r="M746" t="str">
        <f>TEXT(calls[[#This Row],[Date of Call]],"DDDD")</f>
        <v>Friday</v>
      </c>
      <c r="N746" t="str" cm="1">
        <f t="array" ref="N74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46">
        <f>ROUND(calls[[#This Row],[Satisfaction Rating]],0)</f>
        <v>5</v>
      </c>
      <c r="P746" s="53">
        <f t="shared" si="11"/>
        <v>307</v>
      </c>
    </row>
    <row r="747" spans="2:16">
      <c r="B747" t="s">
        <v>827</v>
      </c>
      <c r="C747" t="s">
        <v>66</v>
      </c>
      <c r="D747" s="46" t="str" cm="1">
        <f t="array" ref="D747">_xlfn.XLOOKUP(C747,customers[Customer ID],customers[Gender],"")</f>
        <v>Female</v>
      </c>
      <c r="E747" s="46" cm="1">
        <f t="array" ref="E747">_xlfn.XLOOKUP(C747,customers[Customer ID],customers[Age],"")</f>
        <v>30</v>
      </c>
      <c r="F747" s="46" t="str" cm="1">
        <f t="array" ref="F747">_xlfn.XLOOKUP(C747,customers[Customer ID],customers[City],"")</f>
        <v>Cleveland</v>
      </c>
      <c r="G747">
        <v>120</v>
      </c>
      <c r="H747" s="47" t="s">
        <v>40</v>
      </c>
      <c r="I747" s="48">
        <v>45191</v>
      </c>
      <c r="J747">
        <v>38</v>
      </c>
      <c r="K747">
        <v>4.2</v>
      </c>
      <c r="L747">
        <f>IF(MONTH(calls[[#This Row],[Date of Call]])&lt;=6,YEAR(calls[[#This Row],[Date of Call]]),YEAR(calls[[#This Row],[Date of Call]])+1)</f>
        <v>2024</v>
      </c>
      <c r="M747" t="str">
        <f>TEXT(calls[[#This Row],[Date of Call]],"DDDD")</f>
        <v>Friday</v>
      </c>
      <c r="N747" t="str" cm="1">
        <f t="array" ref="N74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47">
        <f>ROUND(calls[[#This Row],[Satisfaction Rating]],0)</f>
        <v>4</v>
      </c>
      <c r="P747" s="53">
        <f t="shared" si="11"/>
        <v>307</v>
      </c>
    </row>
    <row r="748" spans="2:16">
      <c r="B748" t="s">
        <v>828</v>
      </c>
      <c r="C748" t="s">
        <v>70</v>
      </c>
      <c r="D748" s="46" t="str" cm="1">
        <f t="array" ref="D748">_xlfn.XLOOKUP(C748,customers[Customer ID],customers[Gender],"")</f>
        <v>Male</v>
      </c>
      <c r="E748" s="46" cm="1">
        <f t="array" ref="E748">_xlfn.XLOOKUP(C748,customers[Customer ID],customers[Age],"")</f>
        <v>37</v>
      </c>
      <c r="F748" s="46" t="str" cm="1">
        <f t="array" ref="F748">_xlfn.XLOOKUP(C748,customers[Customer ID],customers[City],"")</f>
        <v>Columbus</v>
      </c>
      <c r="G748">
        <v>108</v>
      </c>
      <c r="H748" s="47" t="s">
        <v>36</v>
      </c>
      <c r="I748" s="48">
        <v>45192</v>
      </c>
      <c r="J748">
        <v>66</v>
      </c>
      <c r="K748">
        <v>3.9</v>
      </c>
      <c r="L748">
        <f>IF(MONTH(calls[[#This Row],[Date of Call]])&lt;=6,YEAR(calls[[#This Row],[Date of Call]]),YEAR(calls[[#This Row],[Date of Call]])+1)</f>
        <v>2024</v>
      </c>
      <c r="M748" t="str">
        <f>TEXT(calls[[#This Row],[Date of Call]],"DDDD")</f>
        <v>Saturday</v>
      </c>
      <c r="N748" t="str" cm="1">
        <f t="array" ref="N74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48">
        <f>ROUND(calls[[#This Row],[Satisfaction Rating]],0)</f>
        <v>4</v>
      </c>
      <c r="P748" s="53">
        <f t="shared" si="11"/>
        <v>307</v>
      </c>
    </row>
    <row r="749" spans="2:16">
      <c r="B749" t="s">
        <v>829</v>
      </c>
      <c r="C749" t="s">
        <v>64</v>
      </c>
      <c r="D749" s="46" t="str" cm="1">
        <f t="array" ref="D749">_xlfn.XLOOKUP(C749,customers[Customer ID],customers[Gender],"")</f>
        <v>Female</v>
      </c>
      <c r="E749" s="46" cm="1">
        <f t="array" ref="E749">_xlfn.XLOOKUP(C749,customers[Customer ID],customers[Age],"")</f>
        <v>22</v>
      </c>
      <c r="F749" s="46" t="str" cm="1">
        <f t="array" ref="F749">_xlfn.XLOOKUP(C749,customers[Customer ID],customers[City],"")</f>
        <v>Cleveland</v>
      </c>
      <c r="G749">
        <v>79</v>
      </c>
      <c r="H749" s="47" t="s">
        <v>40</v>
      </c>
      <c r="I749" s="48">
        <v>45192</v>
      </c>
      <c r="J749">
        <v>215</v>
      </c>
      <c r="K749">
        <v>4.6</v>
      </c>
      <c r="L749">
        <f>IF(MONTH(calls[[#This Row],[Date of Call]])&lt;=6,YEAR(calls[[#This Row],[Date of Call]]),YEAR(calls[[#This Row],[Date of Call]])+1)</f>
        <v>2024</v>
      </c>
      <c r="M749" t="str">
        <f>TEXT(calls[[#This Row],[Date of Call]],"DDDD")</f>
        <v>Saturday</v>
      </c>
      <c r="N749" t="str" cm="1">
        <f t="array" ref="N74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49">
        <f>ROUND(calls[[#This Row],[Satisfaction Rating]],0)</f>
        <v>5</v>
      </c>
      <c r="P749" s="53">
        <f t="shared" si="11"/>
        <v>307</v>
      </c>
    </row>
    <row r="750" spans="2:16">
      <c r="B750" t="s">
        <v>830</v>
      </c>
      <c r="C750" t="s">
        <v>64</v>
      </c>
      <c r="D750" s="46" t="str" cm="1">
        <f t="array" ref="D750">_xlfn.XLOOKUP(C750,customers[Customer ID],customers[Gender],"")</f>
        <v>Female</v>
      </c>
      <c r="E750" s="46" cm="1">
        <f t="array" ref="E750">_xlfn.XLOOKUP(C750,customers[Customer ID],customers[Age],"")</f>
        <v>22</v>
      </c>
      <c r="F750" s="46" t="str" cm="1">
        <f t="array" ref="F750">_xlfn.XLOOKUP(C750,customers[Customer ID],customers[City],"")</f>
        <v>Cleveland</v>
      </c>
      <c r="G750">
        <v>45</v>
      </c>
      <c r="H750" s="47" t="s">
        <v>36</v>
      </c>
      <c r="I750" s="48">
        <v>45192</v>
      </c>
      <c r="J750">
        <v>92</v>
      </c>
      <c r="K750">
        <v>4.3</v>
      </c>
      <c r="L750">
        <f>IF(MONTH(calls[[#This Row],[Date of Call]])&lt;=6,YEAR(calls[[#This Row],[Date of Call]]),YEAR(calls[[#This Row],[Date of Call]])+1)</f>
        <v>2024</v>
      </c>
      <c r="M750" t="str">
        <f>TEXT(calls[[#This Row],[Date of Call]],"DDDD")</f>
        <v>Saturday</v>
      </c>
      <c r="N750" t="str" cm="1">
        <f t="array" ref="N75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50">
        <f>ROUND(calls[[#This Row],[Satisfaction Rating]],0)</f>
        <v>4</v>
      </c>
      <c r="P750" s="53">
        <f t="shared" si="11"/>
        <v>307</v>
      </c>
    </row>
    <row r="751" spans="2:16">
      <c r="B751" t="s">
        <v>831</v>
      </c>
      <c r="C751" t="s">
        <v>61</v>
      </c>
      <c r="D751" s="46" t="str" cm="1">
        <f t="array" ref="D751">_xlfn.XLOOKUP(C751,customers[Customer ID],customers[Gender],"")</f>
        <v>Female</v>
      </c>
      <c r="E751" s="46" cm="1">
        <f t="array" ref="E751">_xlfn.XLOOKUP(C751,customers[Customer ID],customers[Age],"")</f>
        <v>30</v>
      </c>
      <c r="F751" s="46" t="str" cm="1">
        <f t="array" ref="F751">_xlfn.XLOOKUP(C751,customers[Customer ID],customers[City],"")</f>
        <v>Cincinnati</v>
      </c>
      <c r="G751">
        <v>96</v>
      </c>
      <c r="H751" s="47" t="s">
        <v>40</v>
      </c>
      <c r="I751" s="48">
        <v>45192</v>
      </c>
      <c r="J751">
        <v>80</v>
      </c>
      <c r="K751">
        <v>3.6</v>
      </c>
      <c r="L751">
        <f>IF(MONTH(calls[[#This Row],[Date of Call]])&lt;=6,YEAR(calls[[#This Row],[Date of Call]]),YEAR(calls[[#This Row],[Date of Call]])+1)</f>
        <v>2024</v>
      </c>
      <c r="M751" t="str">
        <f>TEXT(calls[[#This Row],[Date of Call]],"DDDD")</f>
        <v>Saturday</v>
      </c>
      <c r="N751" t="str" cm="1">
        <f t="array" ref="N75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51">
        <f>ROUND(calls[[#This Row],[Satisfaction Rating]],0)</f>
        <v>4</v>
      </c>
      <c r="P751" s="53">
        <f t="shared" si="11"/>
        <v>307</v>
      </c>
    </row>
    <row r="752" spans="2:16">
      <c r="B752" t="s">
        <v>832</v>
      </c>
      <c r="C752" t="s">
        <v>61</v>
      </c>
      <c r="D752" s="46" t="str" cm="1">
        <f t="array" ref="D752">_xlfn.XLOOKUP(C752,customers[Customer ID],customers[Gender],"")</f>
        <v>Female</v>
      </c>
      <c r="E752" s="46" cm="1">
        <f t="array" ref="E752">_xlfn.XLOOKUP(C752,customers[Customer ID],customers[Age],"")</f>
        <v>30</v>
      </c>
      <c r="F752" s="46" t="str" cm="1">
        <f t="array" ref="F752">_xlfn.XLOOKUP(C752,customers[Customer ID],customers[City],"")</f>
        <v>Cincinnati</v>
      </c>
      <c r="G752">
        <v>81</v>
      </c>
      <c r="H752" s="47" t="s">
        <v>40</v>
      </c>
      <c r="I752" s="48">
        <v>45193</v>
      </c>
      <c r="J752">
        <v>123</v>
      </c>
      <c r="K752">
        <v>4.9</v>
      </c>
      <c r="L752">
        <f>IF(MONTH(calls[[#This Row],[Date of Call]])&lt;=6,YEAR(calls[[#This Row],[Date of Call]]),YEAR(calls[[#This Row],[Date of Call]])+1)</f>
        <v>2024</v>
      </c>
      <c r="M752" t="str">
        <f>TEXT(calls[[#This Row],[Date of Call]],"DDDD")</f>
        <v>Sunday</v>
      </c>
      <c r="N752" t="str" cm="1">
        <f t="array" ref="N75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52">
        <f>ROUND(calls[[#This Row],[Satisfaction Rating]],0)</f>
        <v>5</v>
      </c>
      <c r="P752" s="53">
        <f t="shared" si="11"/>
        <v>307</v>
      </c>
    </row>
    <row r="753" spans="2:16">
      <c r="B753" t="s">
        <v>833</v>
      </c>
      <c r="C753" t="s">
        <v>62</v>
      </c>
      <c r="D753" s="46" t="str" cm="1">
        <f t="array" ref="D753">_xlfn.XLOOKUP(C753,customers[Customer ID],customers[Gender],"")</f>
        <v>Female</v>
      </c>
      <c r="E753" s="46" cm="1">
        <f t="array" ref="E753">_xlfn.XLOOKUP(C753,customers[Customer ID],customers[Age],"")</f>
        <v>28</v>
      </c>
      <c r="F753" s="46" t="str" cm="1">
        <f t="array" ref="F753">_xlfn.XLOOKUP(C753,customers[Customer ID],customers[City],"")</f>
        <v>Cincinnati</v>
      </c>
      <c r="G753">
        <v>95</v>
      </c>
      <c r="H753" s="47" t="s">
        <v>39</v>
      </c>
      <c r="I753" s="48">
        <v>45193</v>
      </c>
      <c r="J753">
        <v>23</v>
      </c>
      <c r="K753">
        <v>2.4</v>
      </c>
      <c r="L753">
        <f>IF(MONTH(calls[[#This Row],[Date of Call]])&lt;=6,YEAR(calls[[#This Row],[Date of Call]]),YEAR(calls[[#This Row],[Date of Call]])+1)</f>
        <v>2024</v>
      </c>
      <c r="M753" t="str">
        <f>TEXT(calls[[#This Row],[Date of Call]],"DDDD")</f>
        <v>Sunday</v>
      </c>
      <c r="N753" t="str" cm="1">
        <f t="array" ref="N75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53">
        <f>ROUND(calls[[#This Row],[Satisfaction Rating]],0)</f>
        <v>2</v>
      </c>
      <c r="P753" s="53">
        <f t="shared" si="11"/>
        <v>307</v>
      </c>
    </row>
    <row r="754" spans="2:16">
      <c r="B754" t="s">
        <v>834</v>
      </c>
      <c r="C754" t="s">
        <v>68</v>
      </c>
      <c r="D754" s="46" t="str" cm="1">
        <f t="array" ref="D754">_xlfn.XLOOKUP(C754,customers[Customer ID],customers[Gender],"")</f>
        <v>Female</v>
      </c>
      <c r="E754" s="46" cm="1">
        <f t="array" ref="E754">_xlfn.XLOOKUP(C754,customers[Customer ID],customers[Age],"")</f>
        <v>43</v>
      </c>
      <c r="F754" s="46" t="str" cm="1">
        <f t="array" ref="F754">_xlfn.XLOOKUP(C754,customers[Customer ID],customers[City],"")</f>
        <v>Cleveland</v>
      </c>
      <c r="G754">
        <v>159</v>
      </c>
      <c r="H754" s="47" t="s">
        <v>37</v>
      </c>
      <c r="I754" s="48">
        <v>45193</v>
      </c>
      <c r="J754">
        <v>63</v>
      </c>
      <c r="K754">
        <v>4.2</v>
      </c>
      <c r="L754">
        <f>IF(MONTH(calls[[#This Row],[Date of Call]])&lt;=6,YEAR(calls[[#This Row],[Date of Call]]),YEAR(calls[[#This Row],[Date of Call]])+1)</f>
        <v>2024</v>
      </c>
      <c r="M754" t="str">
        <f>TEXT(calls[[#This Row],[Date of Call]],"DDDD")</f>
        <v>Sunday</v>
      </c>
      <c r="N754" t="str" cm="1">
        <f t="array" ref="N75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54">
        <f>ROUND(calls[[#This Row],[Satisfaction Rating]],0)</f>
        <v>4</v>
      </c>
      <c r="P754" s="53">
        <f t="shared" si="11"/>
        <v>307</v>
      </c>
    </row>
    <row r="755" spans="2:16">
      <c r="B755" t="s">
        <v>835</v>
      </c>
      <c r="C755" t="s">
        <v>65</v>
      </c>
      <c r="D755" s="46" t="str" cm="1">
        <f t="array" ref="D755">_xlfn.XLOOKUP(C755,customers[Customer ID],customers[Gender],"")</f>
        <v>Female</v>
      </c>
      <c r="E755" s="46" cm="1">
        <f t="array" ref="E755">_xlfn.XLOOKUP(C755,customers[Customer ID],customers[Age],"")</f>
        <v>42</v>
      </c>
      <c r="F755" s="46" t="str" cm="1">
        <f t="array" ref="F755">_xlfn.XLOOKUP(C755,customers[Customer ID],customers[City],"")</f>
        <v>Cleveland</v>
      </c>
      <c r="G755">
        <v>109</v>
      </c>
      <c r="H755" s="47" t="s">
        <v>38</v>
      </c>
      <c r="I755" s="48">
        <v>45193</v>
      </c>
      <c r="J755">
        <v>52</v>
      </c>
      <c r="K755">
        <v>3.9</v>
      </c>
      <c r="L755">
        <f>IF(MONTH(calls[[#This Row],[Date of Call]])&lt;=6,YEAR(calls[[#This Row],[Date of Call]]),YEAR(calls[[#This Row],[Date of Call]])+1)</f>
        <v>2024</v>
      </c>
      <c r="M755" t="str">
        <f>TEXT(calls[[#This Row],[Date of Call]],"DDDD")</f>
        <v>Sunday</v>
      </c>
      <c r="N755" t="str" cm="1">
        <f t="array" ref="N7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55">
        <f>ROUND(calls[[#This Row],[Satisfaction Rating]],0)</f>
        <v>4</v>
      </c>
      <c r="P755" s="53">
        <f t="shared" si="11"/>
        <v>307</v>
      </c>
    </row>
    <row r="756" spans="2:16">
      <c r="B756" t="s">
        <v>836</v>
      </c>
      <c r="C756" t="s">
        <v>64</v>
      </c>
      <c r="D756" s="46" t="str" cm="1">
        <f t="array" ref="D756">_xlfn.XLOOKUP(C756,customers[Customer ID],customers[Gender],"")</f>
        <v>Female</v>
      </c>
      <c r="E756" s="46" cm="1">
        <f t="array" ref="E756">_xlfn.XLOOKUP(C756,customers[Customer ID],customers[Age],"")</f>
        <v>22</v>
      </c>
      <c r="F756" s="46" t="str" cm="1">
        <f t="array" ref="F756">_xlfn.XLOOKUP(C756,customers[Customer ID],customers[City],"")</f>
        <v>Cleveland</v>
      </c>
      <c r="G756">
        <v>107</v>
      </c>
      <c r="H756" s="47" t="s">
        <v>38</v>
      </c>
      <c r="I756" s="48">
        <v>45193</v>
      </c>
      <c r="J756">
        <v>60</v>
      </c>
      <c r="K756">
        <v>4.2</v>
      </c>
      <c r="L756">
        <f>IF(MONTH(calls[[#This Row],[Date of Call]])&lt;=6,YEAR(calls[[#This Row],[Date of Call]]),YEAR(calls[[#This Row],[Date of Call]])+1)</f>
        <v>2024</v>
      </c>
      <c r="M756" t="str">
        <f>TEXT(calls[[#This Row],[Date of Call]],"DDDD")</f>
        <v>Sunday</v>
      </c>
      <c r="N756" t="str" cm="1">
        <f t="array" ref="N7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56">
        <f>ROUND(calls[[#This Row],[Satisfaction Rating]],0)</f>
        <v>4</v>
      </c>
      <c r="P756" s="53">
        <f t="shared" si="11"/>
        <v>307</v>
      </c>
    </row>
    <row r="757" spans="2:16">
      <c r="B757" t="s">
        <v>837</v>
      </c>
      <c r="C757" t="s">
        <v>61</v>
      </c>
      <c r="D757" s="46" t="str" cm="1">
        <f t="array" ref="D757">_xlfn.XLOOKUP(C757,customers[Customer ID],customers[Gender],"")</f>
        <v>Female</v>
      </c>
      <c r="E757" s="46" cm="1">
        <f t="array" ref="E757">_xlfn.XLOOKUP(C757,customers[Customer ID],customers[Age],"")</f>
        <v>30</v>
      </c>
      <c r="F757" s="46" t="str" cm="1">
        <f t="array" ref="F757">_xlfn.XLOOKUP(C757,customers[Customer ID],customers[City],"")</f>
        <v>Cincinnati</v>
      </c>
      <c r="G757">
        <v>67</v>
      </c>
      <c r="H757" s="47" t="s">
        <v>36</v>
      </c>
      <c r="I757" s="48">
        <v>45194</v>
      </c>
      <c r="J757">
        <v>87</v>
      </c>
      <c r="K757">
        <v>3.9</v>
      </c>
      <c r="L757">
        <f>IF(MONTH(calls[[#This Row],[Date of Call]])&lt;=6,YEAR(calls[[#This Row],[Date of Call]]),YEAR(calls[[#This Row],[Date of Call]])+1)</f>
        <v>2024</v>
      </c>
      <c r="M757" t="str">
        <f>TEXT(calls[[#This Row],[Date of Call]],"DDDD")</f>
        <v>Monday</v>
      </c>
      <c r="N757" t="str" cm="1">
        <f t="array" ref="N75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57">
        <f>ROUND(calls[[#This Row],[Satisfaction Rating]],0)</f>
        <v>4</v>
      </c>
      <c r="P757" s="53">
        <f t="shared" si="11"/>
        <v>307</v>
      </c>
    </row>
    <row r="758" spans="2:16">
      <c r="B758" t="s">
        <v>838</v>
      </c>
      <c r="C758" t="s">
        <v>63</v>
      </c>
      <c r="D758" s="46" t="str" cm="1">
        <f t="array" ref="D758">_xlfn.XLOOKUP(C758,customers[Customer ID],customers[Gender],"")</f>
        <v>Male</v>
      </c>
      <c r="E758" s="46" cm="1">
        <f t="array" ref="E758">_xlfn.XLOOKUP(C758,customers[Customer ID],customers[Age],"")</f>
        <v>31</v>
      </c>
      <c r="F758" s="46" t="str" cm="1">
        <f t="array" ref="F758">_xlfn.XLOOKUP(C758,customers[Customer ID],customers[City],"")</f>
        <v>Cleveland</v>
      </c>
      <c r="G758">
        <v>96</v>
      </c>
      <c r="H758" s="47" t="s">
        <v>40</v>
      </c>
      <c r="I758" s="48">
        <v>45195</v>
      </c>
      <c r="J758">
        <v>42</v>
      </c>
      <c r="K758">
        <v>4.5</v>
      </c>
      <c r="L758">
        <f>IF(MONTH(calls[[#This Row],[Date of Call]])&lt;=6,YEAR(calls[[#This Row],[Date of Call]]),YEAR(calls[[#This Row],[Date of Call]])+1)</f>
        <v>2024</v>
      </c>
      <c r="M758" t="str">
        <f>TEXT(calls[[#This Row],[Date of Call]],"DDDD")</f>
        <v>Tuesday</v>
      </c>
      <c r="N758" t="str" cm="1">
        <f t="array" ref="N7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58">
        <f>ROUND(calls[[#This Row],[Satisfaction Rating]],0)</f>
        <v>5</v>
      </c>
      <c r="P758" s="53">
        <f t="shared" si="11"/>
        <v>307</v>
      </c>
    </row>
    <row r="759" spans="2:16">
      <c r="B759" t="s">
        <v>839</v>
      </c>
      <c r="C759" t="s">
        <v>71</v>
      </c>
      <c r="D759" s="46" t="str" cm="1">
        <f t="array" ref="D759">_xlfn.XLOOKUP(C759,customers[Customer ID],customers[Gender],"")</f>
        <v>Male</v>
      </c>
      <c r="E759" s="46" cm="1">
        <f t="array" ref="E759">_xlfn.XLOOKUP(C759,customers[Customer ID],customers[Age],"")</f>
        <v>23</v>
      </c>
      <c r="F759" s="46" t="str" cm="1">
        <f t="array" ref="F759">_xlfn.XLOOKUP(C759,customers[Customer ID],customers[City],"")</f>
        <v>Columbus</v>
      </c>
      <c r="G759">
        <v>142</v>
      </c>
      <c r="H759" s="47" t="s">
        <v>37</v>
      </c>
      <c r="I759" s="48">
        <v>45196</v>
      </c>
      <c r="J759">
        <v>37</v>
      </c>
      <c r="K759">
        <v>3.8</v>
      </c>
      <c r="L759">
        <f>IF(MONTH(calls[[#This Row],[Date of Call]])&lt;=6,YEAR(calls[[#This Row],[Date of Call]]),YEAR(calls[[#This Row],[Date of Call]])+1)</f>
        <v>2024</v>
      </c>
      <c r="M759" t="str">
        <f>TEXT(calls[[#This Row],[Date of Call]],"DDDD")</f>
        <v>Wednesday</v>
      </c>
      <c r="N759" t="str" cm="1">
        <f t="array" ref="N75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59">
        <f>ROUND(calls[[#This Row],[Satisfaction Rating]],0)</f>
        <v>4</v>
      </c>
      <c r="P759" s="53">
        <f t="shared" si="11"/>
        <v>307</v>
      </c>
    </row>
    <row r="760" spans="2:16">
      <c r="B760" t="s">
        <v>840</v>
      </c>
      <c r="C760" t="s">
        <v>71</v>
      </c>
      <c r="D760" s="46" t="str" cm="1">
        <f t="array" ref="D760">_xlfn.XLOOKUP(C760,customers[Customer ID],customers[Gender],"")</f>
        <v>Male</v>
      </c>
      <c r="E760" s="46" cm="1">
        <f t="array" ref="E760">_xlfn.XLOOKUP(C760,customers[Customer ID],customers[Age],"")</f>
        <v>23</v>
      </c>
      <c r="F760" s="46" t="str" cm="1">
        <f t="array" ref="F760">_xlfn.XLOOKUP(C760,customers[Customer ID],customers[City],"")</f>
        <v>Columbus</v>
      </c>
      <c r="G760">
        <v>71</v>
      </c>
      <c r="H760" s="47" t="s">
        <v>39</v>
      </c>
      <c r="I760" s="48">
        <v>45196</v>
      </c>
      <c r="J760">
        <v>135</v>
      </c>
      <c r="K760">
        <v>3.9</v>
      </c>
      <c r="L760">
        <f>IF(MONTH(calls[[#This Row],[Date of Call]])&lt;=6,YEAR(calls[[#This Row],[Date of Call]]),YEAR(calls[[#This Row],[Date of Call]])+1)</f>
        <v>2024</v>
      </c>
      <c r="M760" t="str">
        <f>TEXT(calls[[#This Row],[Date of Call]],"DDDD")</f>
        <v>Wednesday</v>
      </c>
      <c r="N760" t="str" cm="1">
        <f t="array" ref="N7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60">
        <f>ROUND(calls[[#This Row],[Satisfaction Rating]],0)</f>
        <v>4</v>
      </c>
      <c r="P760" s="53">
        <f t="shared" si="11"/>
        <v>307</v>
      </c>
    </row>
    <row r="761" spans="2:16">
      <c r="B761" t="s">
        <v>841</v>
      </c>
      <c r="C761" t="s">
        <v>63</v>
      </c>
      <c r="D761" s="46" t="str" cm="1">
        <f t="array" ref="D761">_xlfn.XLOOKUP(C761,customers[Customer ID],customers[Gender],"")</f>
        <v>Male</v>
      </c>
      <c r="E761" s="46" cm="1">
        <f t="array" ref="E761">_xlfn.XLOOKUP(C761,customers[Customer ID],customers[Age],"")</f>
        <v>31</v>
      </c>
      <c r="F761" s="46" t="str" cm="1">
        <f t="array" ref="F761">_xlfn.XLOOKUP(C761,customers[Customer ID],customers[City],"")</f>
        <v>Cleveland</v>
      </c>
      <c r="G761">
        <v>152</v>
      </c>
      <c r="H761" s="47" t="s">
        <v>39</v>
      </c>
      <c r="I761" s="48">
        <v>45196</v>
      </c>
      <c r="J761">
        <v>88</v>
      </c>
      <c r="K761">
        <v>4.7</v>
      </c>
      <c r="L761">
        <f>IF(MONTH(calls[[#This Row],[Date of Call]])&lt;=6,YEAR(calls[[#This Row],[Date of Call]]),YEAR(calls[[#This Row],[Date of Call]])+1)</f>
        <v>2024</v>
      </c>
      <c r="M761" t="str">
        <f>TEXT(calls[[#This Row],[Date of Call]],"DDDD")</f>
        <v>Wednesday</v>
      </c>
      <c r="N761" t="str" cm="1">
        <f t="array" ref="N76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61">
        <f>ROUND(calls[[#This Row],[Satisfaction Rating]],0)</f>
        <v>5</v>
      </c>
      <c r="P761" s="53">
        <f t="shared" si="11"/>
        <v>307</v>
      </c>
    </row>
    <row r="762" spans="2:16">
      <c r="B762" t="s">
        <v>842</v>
      </c>
      <c r="C762" t="s">
        <v>69</v>
      </c>
      <c r="D762" s="46" t="str" cm="1">
        <f t="array" ref="D762">_xlfn.XLOOKUP(C762,customers[Customer ID],customers[Gender],"")</f>
        <v>Male</v>
      </c>
      <c r="E762" s="46" cm="1">
        <f t="array" ref="E762">_xlfn.XLOOKUP(C762,customers[Customer ID],customers[Age],"")</f>
        <v>41</v>
      </c>
      <c r="F762" s="46" t="str" cm="1">
        <f t="array" ref="F762">_xlfn.XLOOKUP(C762,customers[Customer ID],customers[City],"")</f>
        <v>Columbus</v>
      </c>
      <c r="G762">
        <v>108</v>
      </c>
      <c r="H762" s="47" t="s">
        <v>37</v>
      </c>
      <c r="I762" s="48">
        <v>45196</v>
      </c>
      <c r="J762">
        <v>190</v>
      </c>
      <c r="K762">
        <v>3.2</v>
      </c>
      <c r="L762">
        <f>IF(MONTH(calls[[#This Row],[Date of Call]])&lt;=6,YEAR(calls[[#This Row],[Date of Call]]),YEAR(calls[[#This Row],[Date of Call]])+1)</f>
        <v>2024</v>
      </c>
      <c r="M762" t="str">
        <f>TEXT(calls[[#This Row],[Date of Call]],"DDDD")</f>
        <v>Wednesday</v>
      </c>
      <c r="N762" t="str" cm="1">
        <f t="array" ref="N7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62">
        <f>ROUND(calls[[#This Row],[Satisfaction Rating]],0)</f>
        <v>3</v>
      </c>
      <c r="P762" s="53">
        <f t="shared" si="11"/>
        <v>307</v>
      </c>
    </row>
    <row r="763" spans="2:16">
      <c r="B763" t="s">
        <v>843</v>
      </c>
      <c r="C763" t="s">
        <v>69</v>
      </c>
      <c r="D763" s="46" t="str" cm="1">
        <f t="array" ref="D763">_xlfn.XLOOKUP(C763,customers[Customer ID],customers[Gender],"")</f>
        <v>Male</v>
      </c>
      <c r="E763" s="46" cm="1">
        <f t="array" ref="E763">_xlfn.XLOOKUP(C763,customers[Customer ID],customers[Age],"")</f>
        <v>41</v>
      </c>
      <c r="F763" s="46" t="str" cm="1">
        <f t="array" ref="F763">_xlfn.XLOOKUP(C763,customers[Customer ID],customers[City],"")</f>
        <v>Columbus</v>
      </c>
      <c r="G763">
        <v>156</v>
      </c>
      <c r="H763" s="47" t="s">
        <v>39</v>
      </c>
      <c r="I763" s="48">
        <v>45196</v>
      </c>
      <c r="J763">
        <v>81</v>
      </c>
      <c r="K763">
        <v>5</v>
      </c>
      <c r="L763">
        <f>IF(MONTH(calls[[#This Row],[Date of Call]])&lt;=6,YEAR(calls[[#This Row],[Date of Call]]),YEAR(calls[[#This Row],[Date of Call]])+1)</f>
        <v>2024</v>
      </c>
      <c r="M763" t="str">
        <f>TEXT(calls[[#This Row],[Date of Call]],"DDDD")</f>
        <v>Wednesday</v>
      </c>
      <c r="N763" t="str" cm="1">
        <f t="array" ref="N76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63">
        <f>ROUND(calls[[#This Row],[Satisfaction Rating]],0)</f>
        <v>5</v>
      </c>
      <c r="P763" s="53">
        <f t="shared" si="11"/>
        <v>307</v>
      </c>
    </row>
    <row r="764" spans="2:16">
      <c r="B764" t="s">
        <v>844</v>
      </c>
      <c r="C764" t="s">
        <v>71</v>
      </c>
      <c r="D764" s="46" t="str" cm="1">
        <f t="array" ref="D764">_xlfn.XLOOKUP(C764,customers[Customer ID],customers[Gender],"")</f>
        <v>Male</v>
      </c>
      <c r="E764" s="46" cm="1">
        <f t="array" ref="E764">_xlfn.XLOOKUP(C764,customers[Customer ID],customers[Age],"")</f>
        <v>23</v>
      </c>
      <c r="F764" s="46" t="str" cm="1">
        <f t="array" ref="F764">_xlfn.XLOOKUP(C764,customers[Customer ID],customers[City],"")</f>
        <v>Columbus</v>
      </c>
      <c r="G764">
        <v>126</v>
      </c>
      <c r="H764" s="47" t="s">
        <v>37</v>
      </c>
      <c r="I764" s="48">
        <v>45196</v>
      </c>
      <c r="J764">
        <v>44</v>
      </c>
      <c r="K764">
        <v>3.7</v>
      </c>
      <c r="L764">
        <f>IF(MONTH(calls[[#This Row],[Date of Call]])&lt;=6,YEAR(calls[[#This Row],[Date of Call]]),YEAR(calls[[#This Row],[Date of Call]])+1)</f>
        <v>2024</v>
      </c>
      <c r="M764" t="str">
        <f>TEXT(calls[[#This Row],[Date of Call]],"DDDD")</f>
        <v>Wednesday</v>
      </c>
      <c r="N764" t="str" cm="1">
        <f t="array" ref="N76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64">
        <f>ROUND(calls[[#This Row],[Satisfaction Rating]],0)</f>
        <v>4</v>
      </c>
      <c r="P764" s="53">
        <f t="shared" si="11"/>
        <v>307</v>
      </c>
    </row>
    <row r="765" spans="2:16">
      <c r="B765" t="s">
        <v>845</v>
      </c>
      <c r="C765" t="s">
        <v>70</v>
      </c>
      <c r="D765" s="46" t="str" cm="1">
        <f t="array" ref="D765">_xlfn.XLOOKUP(C765,customers[Customer ID],customers[Gender],"")</f>
        <v>Male</v>
      </c>
      <c r="E765" s="46" cm="1">
        <f t="array" ref="E765">_xlfn.XLOOKUP(C765,customers[Customer ID],customers[Age],"")</f>
        <v>37</v>
      </c>
      <c r="F765" s="46" t="str" cm="1">
        <f t="array" ref="F765">_xlfn.XLOOKUP(C765,customers[Customer ID],customers[City],"")</f>
        <v>Columbus</v>
      </c>
      <c r="G765">
        <v>135</v>
      </c>
      <c r="H765" s="47" t="s">
        <v>39</v>
      </c>
      <c r="I765" s="48">
        <v>45197</v>
      </c>
      <c r="J765">
        <v>92</v>
      </c>
      <c r="K765">
        <v>3.9</v>
      </c>
      <c r="L765">
        <f>IF(MONTH(calls[[#This Row],[Date of Call]])&lt;=6,YEAR(calls[[#This Row],[Date of Call]]),YEAR(calls[[#This Row],[Date of Call]])+1)</f>
        <v>2024</v>
      </c>
      <c r="M765" t="str">
        <f>TEXT(calls[[#This Row],[Date of Call]],"DDDD")</f>
        <v>Thursday</v>
      </c>
      <c r="N765" t="str" cm="1">
        <f t="array" ref="N76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65">
        <f>ROUND(calls[[#This Row],[Satisfaction Rating]],0)</f>
        <v>4</v>
      </c>
      <c r="P765" s="53">
        <f t="shared" si="11"/>
        <v>307</v>
      </c>
    </row>
    <row r="766" spans="2:16">
      <c r="B766" t="s">
        <v>846</v>
      </c>
      <c r="C766" t="s">
        <v>71</v>
      </c>
      <c r="D766" s="46" t="str" cm="1">
        <f t="array" ref="D766">_xlfn.XLOOKUP(C766,customers[Customer ID],customers[Gender],"")</f>
        <v>Male</v>
      </c>
      <c r="E766" s="46" cm="1">
        <f t="array" ref="E766">_xlfn.XLOOKUP(C766,customers[Customer ID],customers[Age],"")</f>
        <v>23</v>
      </c>
      <c r="F766" s="46" t="str" cm="1">
        <f t="array" ref="F766">_xlfn.XLOOKUP(C766,customers[Customer ID],customers[City],"")</f>
        <v>Columbus</v>
      </c>
      <c r="G766">
        <v>110</v>
      </c>
      <c r="H766" s="47" t="s">
        <v>40</v>
      </c>
      <c r="I766" s="48">
        <v>45198</v>
      </c>
      <c r="J766">
        <v>90</v>
      </c>
      <c r="K766">
        <v>3.1</v>
      </c>
      <c r="L766">
        <f>IF(MONTH(calls[[#This Row],[Date of Call]])&lt;=6,YEAR(calls[[#This Row],[Date of Call]]),YEAR(calls[[#This Row],[Date of Call]])+1)</f>
        <v>2024</v>
      </c>
      <c r="M766" t="str">
        <f>TEXT(calls[[#This Row],[Date of Call]],"DDDD")</f>
        <v>Friday</v>
      </c>
      <c r="N766" t="str" cm="1">
        <f t="array" ref="N76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66">
        <f>ROUND(calls[[#This Row],[Satisfaction Rating]],0)</f>
        <v>3</v>
      </c>
      <c r="P766" s="53">
        <f t="shared" si="11"/>
        <v>307</v>
      </c>
    </row>
    <row r="767" spans="2:16">
      <c r="B767" t="s">
        <v>847</v>
      </c>
      <c r="C767" t="s">
        <v>68</v>
      </c>
      <c r="D767" s="46" t="str" cm="1">
        <f t="array" ref="D767">_xlfn.XLOOKUP(C767,customers[Customer ID],customers[Gender],"")</f>
        <v>Female</v>
      </c>
      <c r="E767" s="46" cm="1">
        <f t="array" ref="E767">_xlfn.XLOOKUP(C767,customers[Customer ID],customers[Age],"")</f>
        <v>43</v>
      </c>
      <c r="F767" s="46" t="str" cm="1">
        <f t="array" ref="F767">_xlfn.XLOOKUP(C767,customers[Customer ID],customers[City],"")</f>
        <v>Cleveland</v>
      </c>
      <c r="G767">
        <v>64</v>
      </c>
      <c r="H767" s="47" t="s">
        <v>39</v>
      </c>
      <c r="I767" s="48">
        <v>45198</v>
      </c>
      <c r="J767">
        <v>112</v>
      </c>
      <c r="K767">
        <v>2</v>
      </c>
      <c r="L767">
        <f>IF(MONTH(calls[[#This Row],[Date of Call]])&lt;=6,YEAR(calls[[#This Row],[Date of Call]]),YEAR(calls[[#This Row],[Date of Call]])+1)</f>
        <v>2024</v>
      </c>
      <c r="M767" t="str">
        <f>TEXT(calls[[#This Row],[Date of Call]],"DDDD")</f>
        <v>Friday</v>
      </c>
      <c r="N767" t="str" cm="1">
        <f t="array" ref="N7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67">
        <f>ROUND(calls[[#This Row],[Satisfaction Rating]],0)</f>
        <v>2</v>
      </c>
      <c r="P767" s="53">
        <f t="shared" si="11"/>
        <v>307</v>
      </c>
    </row>
    <row r="768" spans="2:16">
      <c r="B768" t="s">
        <v>848</v>
      </c>
      <c r="C768" t="s">
        <v>72</v>
      </c>
      <c r="D768" s="46" t="str" cm="1">
        <f t="array" ref="D768">_xlfn.XLOOKUP(C768,customers[Customer ID],customers[Gender],"")</f>
        <v>Female</v>
      </c>
      <c r="E768" s="46" cm="1">
        <f t="array" ref="E768">_xlfn.XLOOKUP(C768,customers[Customer ID],customers[Age],"")</f>
        <v>25</v>
      </c>
      <c r="F768" s="46" t="str" cm="1">
        <f t="array" ref="F768">_xlfn.XLOOKUP(C768,customers[Customer ID],customers[City],"")</f>
        <v>Columbus</v>
      </c>
      <c r="G768">
        <v>127</v>
      </c>
      <c r="H768" s="47" t="s">
        <v>37</v>
      </c>
      <c r="I768" s="48">
        <v>45198</v>
      </c>
      <c r="J768">
        <v>112</v>
      </c>
      <c r="K768">
        <v>4.6</v>
      </c>
      <c r="L768">
        <f>IF(MONTH(calls[[#This Row],[Date of Call]])&lt;=6,YEAR(calls[[#This Row],[Date of Call]]),YEAR(calls[[#This Row],[Date of Call]])+1)</f>
        <v>2024</v>
      </c>
      <c r="M768" t="str">
        <f>TEXT(calls[[#This Row],[Date of Call]],"DDDD")</f>
        <v>Friday</v>
      </c>
      <c r="N768" t="str" cm="1">
        <f t="array" ref="N76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68">
        <f>ROUND(calls[[#This Row],[Satisfaction Rating]],0)</f>
        <v>5</v>
      </c>
      <c r="P768" s="53">
        <f t="shared" si="11"/>
        <v>307</v>
      </c>
    </row>
    <row r="769" spans="2:16">
      <c r="B769" t="s">
        <v>849</v>
      </c>
      <c r="C769" t="s">
        <v>65</v>
      </c>
      <c r="D769" s="46" t="str" cm="1">
        <f t="array" ref="D769">_xlfn.XLOOKUP(C769,customers[Customer ID],customers[Gender],"")</f>
        <v>Female</v>
      </c>
      <c r="E769" s="46" cm="1">
        <f t="array" ref="E769">_xlfn.XLOOKUP(C769,customers[Customer ID],customers[Age],"")</f>
        <v>42</v>
      </c>
      <c r="F769" s="46" t="str" cm="1">
        <f t="array" ref="F769">_xlfn.XLOOKUP(C769,customers[Customer ID],customers[City],"")</f>
        <v>Cleveland</v>
      </c>
      <c r="G769">
        <v>124</v>
      </c>
      <c r="H769" s="47" t="s">
        <v>36</v>
      </c>
      <c r="I769" s="48">
        <v>45198</v>
      </c>
      <c r="J769">
        <v>48</v>
      </c>
      <c r="K769">
        <v>3.7</v>
      </c>
      <c r="L769">
        <f>IF(MONTH(calls[[#This Row],[Date of Call]])&lt;=6,YEAR(calls[[#This Row],[Date of Call]]),YEAR(calls[[#This Row],[Date of Call]])+1)</f>
        <v>2024</v>
      </c>
      <c r="M769" t="str">
        <f>TEXT(calls[[#This Row],[Date of Call]],"DDDD")</f>
        <v>Friday</v>
      </c>
      <c r="N769" t="str" cm="1">
        <f t="array" ref="N76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69">
        <f>ROUND(calls[[#This Row],[Satisfaction Rating]],0)</f>
        <v>4</v>
      </c>
      <c r="P769" s="53">
        <f t="shared" si="11"/>
        <v>307</v>
      </c>
    </row>
    <row r="770" spans="2:16">
      <c r="B770" t="s">
        <v>850</v>
      </c>
      <c r="C770" t="s">
        <v>68</v>
      </c>
      <c r="D770" s="46" t="str" cm="1">
        <f t="array" ref="D770">_xlfn.XLOOKUP(C770,customers[Customer ID],customers[Gender],"")</f>
        <v>Female</v>
      </c>
      <c r="E770" s="46" cm="1">
        <f t="array" ref="E770">_xlfn.XLOOKUP(C770,customers[Customer ID],customers[Age],"")</f>
        <v>43</v>
      </c>
      <c r="F770" s="46" t="str" cm="1">
        <f t="array" ref="F770">_xlfn.XLOOKUP(C770,customers[Customer ID],customers[City],"")</f>
        <v>Cleveland</v>
      </c>
      <c r="G770">
        <v>125</v>
      </c>
      <c r="H770" s="47" t="s">
        <v>37</v>
      </c>
      <c r="I770" s="48">
        <v>45198</v>
      </c>
      <c r="J770">
        <v>116</v>
      </c>
      <c r="K770">
        <v>4.4</v>
      </c>
      <c r="L770">
        <f>IF(MONTH(calls[[#This Row],[Date of Call]])&lt;=6,YEAR(calls[[#This Row],[Date of Call]]),YEAR(calls[[#This Row],[Date of Call]])+1)</f>
        <v>2024</v>
      </c>
      <c r="M770" t="str">
        <f>TEXT(calls[[#This Row],[Date of Call]],"DDDD")</f>
        <v>Friday</v>
      </c>
      <c r="N770" t="str" cm="1">
        <f t="array" ref="N77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70">
        <f>ROUND(calls[[#This Row],[Satisfaction Rating]],0)</f>
        <v>4</v>
      </c>
      <c r="P770" s="53">
        <f t="shared" si="11"/>
        <v>307</v>
      </c>
    </row>
    <row r="771" spans="2:16">
      <c r="B771" t="s">
        <v>851</v>
      </c>
      <c r="C771" t="s">
        <v>60</v>
      </c>
      <c r="D771" s="46" t="str" cm="1">
        <f t="array" ref="D771">_xlfn.XLOOKUP(C771,customers[Customer ID],customers[Gender],"")</f>
        <v>Male</v>
      </c>
      <c r="E771" s="46" cm="1">
        <f t="array" ref="E771">_xlfn.XLOOKUP(C771,customers[Customer ID],customers[Age],"")</f>
        <v>36</v>
      </c>
      <c r="F771" s="46" t="str" cm="1">
        <f t="array" ref="F771">_xlfn.XLOOKUP(C771,customers[Customer ID],customers[City],"")</f>
        <v>Cincinnati</v>
      </c>
      <c r="G771">
        <v>70</v>
      </c>
      <c r="H771" s="47" t="s">
        <v>37</v>
      </c>
      <c r="I771" s="48">
        <v>45198</v>
      </c>
      <c r="J771">
        <v>29</v>
      </c>
      <c r="K771">
        <v>2.1</v>
      </c>
      <c r="L771">
        <f>IF(MONTH(calls[[#This Row],[Date of Call]])&lt;=6,YEAR(calls[[#This Row],[Date of Call]]),YEAR(calls[[#This Row],[Date of Call]])+1)</f>
        <v>2024</v>
      </c>
      <c r="M771" t="str">
        <f>TEXT(calls[[#This Row],[Date of Call]],"DDDD")</f>
        <v>Friday</v>
      </c>
      <c r="N771" t="str" cm="1">
        <f t="array" ref="N77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71">
        <f>ROUND(calls[[#This Row],[Satisfaction Rating]],0)</f>
        <v>2</v>
      </c>
      <c r="P771" s="53">
        <f t="shared" si="11"/>
        <v>307</v>
      </c>
    </row>
    <row r="772" spans="2:16">
      <c r="B772" t="s">
        <v>852</v>
      </c>
      <c r="C772" t="s">
        <v>72</v>
      </c>
      <c r="D772" s="46" t="str" cm="1">
        <f t="array" ref="D772">_xlfn.XLOOKUP(C772,customers[Customer ID],customers[Gender],"")</f>
        <v>Female</v>
      </c>
      <c r="E772" s="46" cm="1">
        <f t="array" ref="E772">_xlfn.XLOOKUP(C772,customers[Customer ID],customers[Age],"")</f>
        <v>25</v>
      </c>
      <c r="F772" s="46" t="str" cm="1">
        <f t="array" ref="F772">_xlfn.XLOOKUP(C772,customers[Customer ID],customers[City],"")</f>
        <v>Columbus</v>
      </c>
      <c r="G772">
        <v>93</v>
      </c>
      <c r="H772" s="47" t="s">
        <v>39</v>
      </c>
      <c r="I772" s="48">
        <v>45199</v>
      </c>
      <c r="J772">
        <v>170</v>
      </c>
      <c r="K772">
        <v>2.2</v>
      </c>
      <c r="L772">
        <f>IF(MONTH(calls[[#This Row],[Date of Call]])&lt;=6,YEAR(calls[[#This Row],[Date of Call]]),YEAR(calls[[#This Row],[Date of Call]])+1)</f>
        <v>2024</v>
      </c>
      <c r="M772" t="str">
        <f>TEXT(calls[[#This Row],[Date of Call]],"DDDD")</f>
        <v>Saturday</v>
      </c>
      <c r="N772" t="str" cm="1">
        <f t="array" ref="N7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72">
        <f>ROUND(calls[[#This Row],[Satisfaction Rating]],0)</f>
        <v>2</v>
      </c>
      <c r="P772" s="53">
        <f t="shared" ref="P772:P835" si="12">COUNTIF(O:O,5)</f>
        <v>307</v>
      </c>
    </row>
    <row r="773" spans="2:16">
      <c r="B773" t="s">
        <v>853</v>
      </c>
      <c r="C773" t="s">
        <v>60</v>
      </c>
      <c r="D773" s="46" t="str" cm="1">
        <f t="array" ref="D773">_xlfn.XLOOKUP(C773,customers[Customer ID],customers[Gender],"")</f>
        <v>Male</v>
      </c>
      <c r="E773" s="46" cm="1">
        <f t="array" ref="E773">_xlfn.XLOOKUP(C773,customers[Customer ID],customers[Age],"")</f>
        <v>36</v>
      </c>
      <c r="F773" s="46" t="str" cm="1">
        <f t="array" ref="F773">_xlfn.XLOOKUP(C773,customers[Customer ID],customers[City],"")</f>
        <v>Cincinnati</v>
      </c>
      <c r="G773">
        <v>120</v>
      </c>
      <c r="H773" s="47" t="s">
        <v>38</v>
      </c>
      <c r="I773" s="48">
        <v>45199</v>
      </c>
      <c r="J773">
        <v>68</v>
      </c>
      <c r="K773">
        <v>3.4</v>
      </c>
      <c r="L773">
        <f>IF(MONTH(calls[[#This Row],[Date of Call]])&lt;=6,YEAR(calls[[#This Row],[Date of Call]]),YEAR(calls[[#This Row],[Date of Call]])+1)</f>
        <v>2024</v>
      </c>
      <c r="M773" t="str">
        <f>TEXT(calls[[#This Row],[Date of Call]],"DDDD")</f>
        <v>Saturday</v>
      </c>
      <c r="N773" t="str" cm="1">
        <f t="array" ref="N7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73">
        <f>ROUND(calls[[#This Row],[Satisfaction Rating]],0)</f>
        <v>3</v>
      </c>
      <c r="P773" s="53">
        <f t="shared" si="12"/>
        <v>307</v>
      </c>
    </row>
    <row r="774" spans="2:16">
      <c r="B774" t="s">
        <v>854</v>
      </c>
      <c r="C774" t="s">
        <v>61</v>
      </c>
      <c r="D774" s="46" t="str" cm="1">
        <f t="array" ref="D774">_xlfn.XLOOKUP(C774,customers[Customer ID],customers[Gender],"")</f>
        <v>Female</v>
      </c>
      <c r="E774" s="46" cm="1">
        <f t="array" ref="E774">_xlfn.XLOOKUP(C774,customers[Customer ID],customers[Age],"")</f>
        <v>30</v>
      </c>
      <c r="F774" s="46" t="str" cm="1">
        <f t="array" ref="F774">_xlfn.XLOOKUP(C774,customers[Customer ID],customers[City],"")</f>
        <v>Cincinnati</v>
      </c>
      <c r="G774">
        <v>96</v>
      </c>
      <c r="H774" s="47" t="s">
        <v>40</v>
      </c>
      <c r="I774" s="48">
        <v>45199</v>
      </c>
      <c r="J774">
        <v>195</v>
      </c>
      <c r="K774">
        <v>2.7</v>
      </c>
      <c r="L774">
        <f>IF(MONTH(calls[[#This Row],[Date of Call]])&lt;=6,YEAR(calls[[#This Row],[Date of Call]]),YEAR(calls[[#This Row],[Date of Call]])+1)</f>
        <v>2024</v>
      </c>
      <c r="M774" t="str">
        <f>TEXT(calls[[#This Row],[Date of Call]],"DDDD")</f>
        <v>Saturday</v>
      </c>
      <c r="N774" t="str" cm="1">
        <f t="array" ref="N7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74">
        <f>ROUND(calls[[#This Row],[Satisfaction Rating]],0)</f>
        <v>3</v>
      </c>
      <c r="P774" s="53">
        <f t="shared" si="12"/>
        <v>307</v>
      </c>
    </row>
    <row r="775" spans="2:16">
      <c r="B775" t="s">
        <v>855</v>
      </c>
      <c r="C775" t="s">
        <v>73</v>
      </c>
      <c r="D775" s="46" t="str" cm="1">
        <f t="array" ref="D775">_xlfn.XLOOKUP(C775,customers[Customer ID],customers[Gender],"")</f>
        <v>Female</v>
      </c>
      <c r="E775" s="46" cm="1">
        <f t="array" ref="E775">_xlfn.XLOOKUP(C775,customers[Customer ID],customers[Age],"")</f>
        <v>38</v>
      </c>
      <c r="F775" s="46" t="str" cm="1">
        <f t="array" ref="F775">_xlfn.XLOOKUP(C775,customers[Customer ID],customers[City],"")</f>
        <v>Columbus</v>
      </c>
      <c r="G775">
        <v>67</v>
      </c>
      <c r="H775" s="47" t="s">
        <v>40</v>
      </c>
      <c r="I775" s="48">
        <v>45199</v>
      </c>
      <c r="J775">
        <v>96</v>
      </c>
      <c r="K775">
        <v>3.7</v>
      </c>
      <c r="L775">
        <f>IF(MONTH(calls[[#This Row],[Date of Call]])&lt;=6,YEAR(calls[[#This Row],[Date of Call]]),YEAR(calls[[#This Row],[Date of Call]])+1)</f>
        <v>2024</v>
      </c>
      <c r="M775" t="str">
        <f>TEXT(calls[[#This Row],[Date of Call]],"DDDD")</f>
        <v>Saturday</v>
      </c>
      <c r="N775" t="str" cm="1">
        <f t="array" ref="N77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75">
        <f>ROUND(calls[[#This Row],[Satisfaction Rating]],0)</f>
        <v>4</v>
      </c>
      <c r="P775" s="53">
        <f t="shared" si="12"/>
        <v>307</v>
      </c>
    </row>
    <row r="776" spans="2:16">
      <c r="B776" t="s">
        <v>856</v>
      </c>
      <c r="C776" t="s">
        <v>68</v>
      </c>
      <c r="D776" s="46" t="str" cm="1">
        <f t="array" ref="D776">_xlfn.XLOOKUP(C776,customers[Customer ID],customers[Gender],"")</f>
        <v>Female</v>
      </c>
      <c r="E776" s="46" cm="1">
        <f t="array" ref="E776">_xlfn.XLOOKUP(C776,customers[Customer ID],customers[Age],"")</f>
        <v>43</v>
      </c>
      <c r="F776" s="46" t="str" cm="1">
        <f t="array" ref="F776">_xlfn.XLOOKUP(C776,customers[Customer ID],customers[City],"")</f>
        <v>Cleveland</v>
      </c>
      <c r="G776">
        <v>119</v>
      </c>
      <c r="H776" s="47" t="s">
        <v>40</v>
      </c>
      <c r="I776" s="48">
        <v>45199</v>
      </c>
      <c r="J776">
        <v>96</v>
      </c>
      <c r="K776">
        <v>3.1</v>
      </c>
      <c r="L776">
        <f>IF(MONTH(calls[[#This Row],[Date of Call]])&lt;=6,YEAR(calls[[#This Row],[Date of Call]]),YEAR(calls[[#This Row],[Date of Call]])+1)</f>
        <v>2024</v>
      </c>
      <c r="M776" t="str">
        <f>TEXT(calls[[#This Row],[Date of Call]],"DDDD")</f>
        <v>Saturday</v>
      </c>
      <c r="N776" t="str" cm="1">
        <f t="array" ref="N77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76">
        <f>ROUND(calls[[#This Row],[Satisfaction Rating]],0)</f>
        <v>3</v>
      </c>
      <c r="P776" s="53">
        <f t="shared" si="12"/>
        <v>307</v>
      </c>
    </row>
    <row r="777" spans="2:16">
      <c r="B777" t="s">
        <v>857</v>
      </c>
      <c r="C777" t="s">
        <v>65</v>
      </c>
      <c r="D777" s="46" t="str" cm="1">
        <f t="array" ref="D777">_xlfn.XLOOKUP(C777,customers[Customer ID],customers[Gender],"")</f>
        <v>Female</v>
      </c>
      <c r="E777" s="46" cm="1">
        <f t="array" ref="E777">_xlfn.XLOOKUP(C777,customers[Customer ID],customers[Age],"")</f>
        <v>42</v>
      </c>
      <c r="F777" s="46" t="str" cm="1">
        <f t="array" ref="F777">_xlfn.XLOOKUP(C777,customers[Customer ID],customers[City],"")</f>
        <v>Cleveland</v>
      </c>
      <c r="G777">
        <v>61</v>
      </c>
      <c r="H777" s="47" t="s">
        <v>36</v>
      </c>
      <c r="I777" s="48">
        <v>45199</v>
      </c>
      <c r="J777">
        <v>117</v>
      </c>
      <c r="K777">
        <v>4.1</v>
      </c>
      <c r="L777">
        <f>IF(MONTH(calls[[#This Row],[Date of Call]])&lt;=6,YEAR(calls[[#This Row],[Date of Call]]),YEAR(calls[[#This Row],[Date of Call]])+1)</f>
        <v>2024</v>
      </c>
      <c r="M777" t="str">
        <f>TEXT(calls[[#This Row],[Date of Call]],"DDDD")</f>
        <v>Saturday</v>
      </c>
      <c r="N777" t="str" cm="1">
        <f t="array" ref="N77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77">
        <f>ROUND(calls[[#This Row],[Satisfaction Rating]],0)</f>
        <v>4</v>
      </c>
      <c r="P777" s="53">
        <f t="shared" si="12"/>
        <v>307</v>
      </c>
    </row>
    <row r="778" spans="2:16">
      <c r="B778" t="s">
        <v>858</v>
      </c>
      <c r="C778" t="s">
        <v>61</v>
      </c>
      <c r="D778" s="46" t="str" cm="1">
        <f t="array" ref="D778">_xlfn.XLOOKUP(C778,customers[Customer ID],customers[Gender],"")</f>
        <v>Female</v>
      </c>
      <c r="E778" s="46" cm="1">
        <f t="array" ref="E778">_xlfn.XLOOKUP(C778,customers[Customer ID],customers[Age],"")</f>
        <v>30</v>
      </c>
      <c r="F778" s="46" t="str" cm="1">
        <f t="array" ref="F778">_xlfn.XLOOKUP(C778,customers[Customer ID],customers[City],"")</f>
        <v>Cincinnati</v>
      </c>
      <c r="G778">
        <v>29</v>
      </c>
      <c r="H778" s="47" t="s">
        <v>39</v>
      </c>
      <c r="I778" s="48">
        <v>45199</v>
      </c>
      <c r="J778">
        <v>80</v>
      </c>
      <c r="K778">
        <v>4.8</v>
      </c>
      <c r="L778">
        <f>IF(MONTH(calls[[#This Row],[Date of Call]])&lt;=6,YEAR(calls[[#This Row],[Date of Call]]),YEAR(calls[[#This Row],[Date of Call]])+1)</f>
        <v>2024</v>
      </c>
      <c r="M778" t="str">
        <f>TEXT(calls[[#This Row],[Date of Call]],"DDDD")</f>
        <v>Saturday</v>
      </c>
      <c r="N778" t="str" cm="1">
        <f t="array" ref="N778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778">
        <f>ROUND(calls[[#This Row],[Satisfaction Rating]],0)</f>
        <v>5</v>
      </c>
      <c r="P778" s="53">
        <f t="shared" si="12"/>
        <v>307</v>
      </c>
    </row>
    <row r="779" spans="2:16">
      <c r="B779" t="s">
        <v>859</v>
      </c>
      <c r="C779" t="s">
        <v>63</v>
      </c>
      <c r="D779" s="46" t="str" cm="1">
        <f t="array" ref="D779">_xlfn.XLOOKUP(C779,customers[Customer ID],customers[Gender],"")</f>
        <v>Male</v>
      </c>
      <c r="E779" s="46" cm="1">
        <f t="array" ref="E779">_xlfn.XLOOKUP(C779,customers[Customer ID],customers[Age],"")</f>
        <v>31</v>
      </c>
      <c r="F779" s="46" t="str" cm="1">
        <f t="array" ref="F779">_xlfn.XLOOKUP(C779,customers[Customer ID],customers[City],"")</f>
        <v>Cleveland</v>
      </c>
      <c r="G779">
        <v>134</v>
      </c>
      <c r="H779" s="47" t="s">
        <v>38</v>
      </c>
      <c r="I779" s="48">
        <v>45199</v>
      </c>
      <c r="J779">
        <v>117</v>
      </c>
      <c r="K779">
        <v>4</v>
      </c>
      <c r="L779">
        <f>IF(MONTH(calls[[#This Row],[Date of Call]])&lt;=6,YEAR(calls[[#This Row],[Date of Call]]),YEAR(calls[[#This Row],[Date of Call]])+1)</f>
        <v>2024</v>
      </c>
      <c r="M779" t="str">
        <f>TEXT(calls[[#This Row],[Date of Call]],"DDDD")</f>
        <v>Saturday</v>
      </c>
      <c r="N779" t="str" cm="1">
        <f t="array" ref="N77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79">
        <f>ROUND(calls[[#This Row],[Satisfaction Rating]],0)</f>
        <v>4</v>
      </c>
      <c r="P779" s="53">
        <f t="shared" si="12"/>
        <v>307</v>
      </c>
    </row>
    <row r="780" spans="2:16">
      <c r="B780" t="s">
        <v>860</v>
      </c>
      <c r="C780" t="s">
        <v>71</v>
      </c>
      <c r="D780" s="46" t="str" cm="1">
        <f t="array" ref="D780">_xlfn.XLOOKUP(C780,customers[Customer ID],customers[Gender],"")</f>
        <v>Male</v>
      </c>
      <c r="E780" s="46" cm="1">
        <f t="array" ref="E780">_xlfn.XLOOKUP(C780,customers[Customer ID],customers[Age],"")</f>
        <v>23</v>
      </c>
      <c r="F780" s="46" t="str" cm="1">
        <f t="array" ref="F780">_xlfn.XLOOKUP(C780,customers[Customer ID],customers[City],"")</f>
        <v>Columbus</v>
      </c>
      <c r="G780">
        <v>113</v>
      </c>
      <c r="H780" s="47" t="s">
        <v>40</v>
      </c>
      <c r="I780" s="48">
        <v>45200</v>
      </c>
      <c r="J780">
        <v>40</v>
      </c>
      <c r="K780">
        <v>3</v>
      </c>
      <c r="L780">
        <f>IF(MONTH(calls[[#This Row],[Date of Call]])&lt;=6,YEAR(calls[[#This Row],[Date of Call]]),YEAR(calls[[#This Row],[Date of Call]])+1)</f>
        <v>2024</v>
      </c>
      <c r="M780" t="str">
        <f>TEXT(calls[[#This Row],[Date of Call]],"DDDD")</f>
        <v>Sunday</v>
      </c>
      <c r="N780" t="str" cm="1">
        <f t="array" ref="N7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80">
        <f>ROUND(calls[[#This Row],[Satisfaction Rating]],0)</f>
        <v>3</v>
      </c>
      <c r="P780" s="53">
        <f t="shared" si="12"/>
        <v>307</v>
      </c>
    </row>
    <row r="781" spans="2:16">
      <c r="B781" t="s">
        <v>861</v>
      </c>
      <c r="C781" t="s">
        <v>69</v>
      </c>
      <c r="D781" s="46" t="str" cm="1">
        <f t="array" ref="D781">_xlfn.XLOOKUP(C781,customers[Customer ID],customers[Gender],"")</f>
        <v>Male</v>
      </c>
      <c r="E781" s="46" cm="1">
        <f t="array" ref="E781">_xlfn.XLOOKUP(C781,customers[Customer ID],customers[Age],"")</f>
        <v>41</v>
      </c>
      <c r="F781" s="46" t="str" cm="1">
        <f t="array" ref="F781">_xlfn.XLOOKUP(C781,customers[Customer ID],customers[City],"")</f>
        <v>Columbus</v>
      </c>
      <c r="G781">
        <v>12</v>
      </c>
      <c r="H781" s="47" t="s">
        <v>38</v>
      </c>
      <c r="I781" s="48">
        <v>45200</v>
      </c>
      <c r="J781">
        <v>117</v>
      </c>
      <c r="K781">
        <v>4.8</v>
      </c>
      <c r="L781">
        <f>IF(MONTH(calls[[#This Row],[Date of Call]])&lt;=6,YEAR(calls[[#This Row],[Date of Call]]),YEAR(calls[[#This Row],[Date of Call]])+1)</f>
        <v>2024</v>
      </c>
      <c r="M781" t="str">
        <f>TEXT(calls[[#This Row],[Date of Call]],"DDDD")</f>
        <v>Sunday</v>
      </c>
      <c r="N781" t="str" cm="1">
        <f t="array" ref="N781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781">
        <f>ROUND(calls[[#This Row],[Satisfaction Rating]],0)</f>
        <v>5</v>
      </c>
      <c r="P781" s="53">
        <f t="shared" si="12"/>
        <v>307</v>
      </c>
    </row>
    <row r="782" spans="2:16">
      <c r="B782" t="s">
        <v>862</v>
      </c>
      <c r="C782" t="s">
        <v>67</v>
      </c>
      <c r="D782" s="46" t="str" cm="1">
        <f t="array" ref="D782">_xlfn.XLOOKUP(C782,customers[Customer ID],customers[Gender],"")</f>
        <v>Female</v>
      </c>
      <c r="E782" s="46" cm="1">
        <f t="array" ref="E782">_xlfn.XLOOKUP(C782,customers[Customer ID],customers[Age],"")</f>
        <v>37</v>
      </c>
      <c r="F782" s="46" t="str" cm="1">
        <f t="array" ref="F782">_xlfn.XLOOKUP(C782,customers[Customer ID],customers[City],"")</f>
        <v>Cleveland</v>
      </c>
      <c r="G782">
        <v>78</v>
      </c>
      <c r="H782" s="47" t="s">
        <v>39</v>
      </c>
      <c r="I782" s="48">
        <v>45200</v>
      </c>
      <c r="J782">
        <v>135</v>
      </c>
      <c r="K782">
        <v>4.1</v>
      </c>
      <c r="L782">
        <f>IF(MONTH(calls[[#This Row],[Date of Call]])&lt;=6,YEAR(calls[[#This Row],[Date of Call]]),YEAR(calls[[#This Row],[Date of Call]])+1)</f>
        <v>2024</v>
      </c>
      <c r="M782" t="str">
        <f>TEXT(calls[[#This Row],[Date of Call]],"DDDD")</f>
        <v>Sunday</v>
      </c>
      <c r="N782" t="str" cm="1">
        <f t="array" ref="N7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82">
        <f>ROUND(calls[[#This Row],[Satisfaction Rating]],0)</f>
        <v>4</v>
      </c>
      <c r="P782" s="53">
        <f t="shared" si="12"/>
        <v>307</v>
      </c>
    </row>
    <row r="783" spans="2:16">
      <c r="B783" t="s">
        <v>863</v>
      </c>
      <c r="C783" t="s">
        <v>68</v>
      </c>
      <c r="D783" s="46" t="str" cm="1">
        <f t="array" ref="D783">_xlfn.XLOOKUP(C783,customers[Customer ID],customers[Gender],"")</f>
        <v>Female</v>
      </c>
      <c r="E783" s="46" cm="1">
        <f t="array" ref="E783">_xlfn.XLOOKUP(C783,customers[Customer ID],customers[Age],"")</f>
        <v>43</v>
      </c>
      <c r="F783" s="46" t="str" cm="1">
        <f t="array" ref="F783">_xlfn.XLOOKUP(C783,customers[Customer ID],customers[City],"")</f>
        <v>Cleveland</v>
      </c>
      <c r="G783">
        <v>82</v>
      </c>
      <c r="H783" s="47" t="s">
        <v>37</v>
      </c>
      <c r="I783" s="48">
        <v>45200</v>
      </c>
      <c r="J783">
        <v>99</v>
      </c>
      <c r="K783">
        <v>4.2</v>
      </c>
      <c r="L783">
        <f>IF(MONTH(calls[[#This Row],[Date of Call]])&lt;=6,YEAR(calls[[#This Row],[Date of Call]]),YEAR(calls[[#This Row],[Date of Call]])+1)</f>
        <v>2024</v>
      </c>
      <c r="M783" t="str">
        <f>TEXT(calls[[#This Row],[Date of Call]],"DDDD")</f>
        <v>Sunday</v>
      </c>
      <c r="N783" t="str" cm="1">
        <f t="array" ref="N7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83">
        <f>ROUND(calls[[#This Row],[Satisfaction Rating]],0)</f>
        <v>4</v>
      </c>
      <c r="P783" s="53">
        <f t="shared" si="12"/>
        <v>307</v>
      </c>
    </row>
    <row r="784" spans="2:16">
      <c r="B784" t="s">
        <v>864</v>
      </c>
      <c r="C784" t="s">
        <v>66</v>
      </c>
      <c r="D784" s="46" t="str" cm="1">
        <f t="array" ref="D784">_xlfn.XLOOKUP(C784,customers[Customer ID],customers[Gender],"")</f>
        <v>Female</v>
      </c>
      <c r="E784" s="46" cm="1">
        <f t="array" ref="E784">_xlfn.XLOOKUP(C784,customers[Customer ID],customers[Age],"")</f>
        <v>30</v>
      </c>
      <c r="F784" s="46" t="str" cm="1">
        <f t="array" ref="F784">_xlfn.XLOOKUP(C784,customers[Customer ID],customers[City],"")</f>
        <v>Cleveland</v>
      </c>
      <c r="G784">
        <v>149</v>
      </c>
      <c r="H784" s="47" t="s">
        <v>36</v>
      </c>
      <c r="I784" s="48">
        <v>45200</v>
      </c>
      <c r="J784">
        <v>130</v>
      </c>
      <c r="K784">
        <v>3.3</v>
      </c>
      <c r="L784">
        <f>IF(MONTH(calls[[#This Row],[Date of Call]])&lt;=6,YEAR(calls[[#This Row],[Date of Call]]),YEAR(calls[[#This Row],[Date of Call]])+1)</f>
        <v>2024</v>
      </c>
      <c r="M784" t="str">
        <f>TEXT(calls[[#This Row],[Date of Call]],"DDDD")</f>
        <v>Sunday</v>
      </c>
      <c r="N784" t="str" cm="1">
        <f t="array" ref="N78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84">
        <f>ROUND(calls[[#This Row],[Satisfaction Rating]],0)</f>
        <v>3</v>
      </c>
      <c r="P784" s="53">
        <f t="shared" si="12"/>
        <v>307</v>
      </c>
    </row>
    <row r="785" spans="2:16">
      <c r="B785" t="s">
        <v>865</v>
      </c>
      <c r="C785" t="s">
        <v>64</v>
      </c>
      <c r="D785" s="46" t="str" cm="1">
        <f t="array" ref="D785">_xlfn.XLOOKUP(C785,customers[Customer ID],customers[Gender],"")</f>
        <v>Female</v>
      </c>
      <c r="E785" s="46" cm="1">
        <f t="array" ref="E785">_xlfn.XLOOKUP(C785,customers[Customer ID],customers[Age],"")</f>
        <v>22</v>
      </c>
      <c r="F785" s="46" t="str" cm="1">
        <f t="array" ref="F785">_xlfn.XLOOKUP(C785,customers[Customer ID],customers[City],"")</f>
        <v>Cleveland</v>
      </c>
      <c r="G785">
        <v>56</v>
      </c>
      <c r="H785" s="47" t="s">
        <v>38</v>
      </c>
      <c r="I785" s="48">
        <v>45200</v>
      </c>
      <c r="J785">
        <v>96</v>
      </c>
      <c r="K785">
        <v>4.7</v>
      </c>
      <c r="L785">
        <f>IF(MONTH(calls[[#This Row],[Date of Call]])&lt;=6,YEAR(calls[[#This Row],[Date of Call]]),YEAR(calls[[#This Row],[Date of Call]])+1)</f>
        <v>2024</v>
      </c>
      <c r="M785" t="str">
        <f>TEXT(calls[[#This Row],[Date of Call]],"DDDD")</f>
        <v>Sunday</v>
      </c>
      <c r="N785" t="str" cm="1">
        <f t="array" ref="N78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85">
        <f>ROUND(calls[[#This Row],[Satisfaction Rating]],0)</f>
        <v>5</v>
      </c>
      <c r="P785" s="53">
        <f t="shared" si="12"/>
        <v>307</v>
      </c>
    </row>
    <row r="786" spans="2:16">
      <c r="B786" t="s">
        <v>866</v>
      </c>
      <c r="C786" t="s">
        <v>61</v>
      </c>
      <c r="D786" s="46" t="str" cm="1">
        <f t="array" ref="D786">_xlfn.XLOOKUP(C786,customers[Customer ID],customers[Gender],"")</f>
        <v>Female</v>
      </c>
      <c r="E786" s="46" cm="1">
        <f t="array" ref="E786">_xlfn.XLOOKUP(C786,customers[Customer ID],customers[Age],"")</f>
        <v>30</v>
      </c>
      <c r="F786" s="46" t="str" cm="1">
        <f t="array" ref="F786">_xlfn.XLOOKUP(C786,customers[Customer ID],customers[City],"")</f>
        <v>Cincinnati</v>
      </c>
      <c r="G786">
        <v>80</v>
      </c>
      <c r="H786" s="47" t="s">
        <v>36</v>
      </c>
      <c r="I786" s="48">
        <v>45200</v>
      </c>
      <c r="J786">
        <v>128</v>
      </c>
      <c r="K786">
        <v>3.7</v>
      </c>
      <c r="L786">
        <f>IF(MONTH(calls[[#This Row],[Date of Call]])&lt;=6,YEAR(calls[[#This Row],[Date of Call]]),YEAR(calls[[#This Row],[Date of Call]])+1)</f>
        <v>2024</v>
      </c>
      <c r="M786" t="str">
        <f>TEXT(calls[[#This Row],[Date of Call]],"DDDD")</f>
        <v>Sunday</v>
      </c>
      <c r="N786" t="str" cm="1">
        <f t="array" ref="N78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86">
        <f>ROUND(calls[[#This Row],[Satisfaction Rating]],0)</f>
        <v>4</v>
      </c>
      <c r="P786" s="53">
        <f t="shared" si="12"/>
        <v>307</v>
      </c>
    </row>
    <row r="787" spans="2:16">
      <c r="B787" t="s">
        <v>867</v>
      </c>
      <c r="C787" t="s">
        <v>65</v>
      </c>
      <c r="D787" s="46" t="str" cm="1">
        <f t="array" ref="D787">_xlfn.XLOOKUP(C787,customers[Customer ID],customers[Gender],"")</f>
        <v>Female</v>
      </c>
      <c r="E787" s="46" cm="1">
        <f t="array" ref="E787">_xlfn.XLOOKUP(C787,customers[Customer ID],customers[Age],"")</f>
        <v>42</v>
      </c>
      <c r="F787" s="46" t="str" cm="1">
        <f t="array" ref="F787">_xlfn.XLOOKUP(C787,customers[Customer ID],customers[City],"")</f>
        <v>Cleveland</v>
      </c>
      <c r="G787">
        <v>131</v>
      </c>
      <c r="H787" s="47" t="s">
        <v>40</v>
      </c>
      <c r="I787" s="48">
        <v>45200</v>
      </c>
      <c r="J787">
        <v>69</v>
      </c>
      <c r="K787">
        <v>4.7</v>
      </c>
      <c r="L787">
        <f>IF(MONTH(calls[[#This Row],[Date of Call]])&lt;=6,YEAR(calls[[#This Row],[Date of Call]]),YEAR(calls[[#This Row],[Date of Call]])+1)</f>
        <v>2024</v>
      </c>
      <c r="M787" t="str">
        <f>TEXT(calls[[#This Row],[Date of Call]],"DDDD")</f>
        <v>Sunday</v>
      </c>
      <c r="N787" t="str" cm="1">
        <f t="array" ref="N78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87">
        <f>ROUND(calls[[#This Row],[Satisfaction Rating]],0)</f>
        <v>5</v>
      </c>
      <c r="P787" s="53">
        <f t="shared" si="12"/>
        <v>307</v>
      </c>
    </row>
    <row r="788" spans="2:16">
      <c r="B788" t="s">
        <v>868</v>
      </c>
      <c r="C788" t="s">
        <v>65</v>
      </c>
      <c r="D788" s="46" t="str" cm="1">
        <f t="array" ref="D788">_xlfn.XLOOKUP(C788,customers[Customer ID],customers[Gender],"")</f>
        <v>Female</v>
      </c>
      <c r="E788" s="46" cm="1">
        <f t="array" ref="E788">_xlfn.XLOOKUP(C788,customers[Customer ID],customers[Age],"")</f>
        <v>42</v>
      </c>
      <c r="F788" s="46" t="str" cm="1">
        <f t="array" ref="F788">_xlfn.XLOOKUP(C788,customers[Customer ID],customers[City],"")</f>
        <v>Cleveland</v>
      </c>
      <c r="G788">
        <v>109</v>
      </c>
      <c r="H788" s="47" t="s">
        <v>40</v>
      </c>
      <c r="I788" s="48">
        <v>45200</v>
      </c>
      <c r="J788">
        <v>44</v>
      </c>
      <c r="K788">
        <v>4.6</v>
      </c>
      <c r="L788">
        <f>IF(MONTH(calls[[#This Row],[Date of Call]])&lt;=6,YEAR(calls[[#This Row],[Date of Call]]),YEAR(calls[[#This Row],[Date of Call]])+1)</f>
        <v>2024</v>
      </c>
      <c r="M788" t="str">
        <f>TEXT(calls[[#This Row],[Date of Call]],"DDDD")</f>
        <v>Sunday</v>
      </c>
      <c r="N788" t="str" cm="1">
        <f t="array" ref="N78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88">
        <f>ROUND(calls[[#This Row],[Satisfaction Rating]],0)</f>
        <v>5</v>
      </c>
      <c r="P788" s="53">
        <f t="shared" si="12"/>
        <v>307</v>
      </c>
    </row>
    <row r="789" spans="2:16">
      <c r="B789" t="s">
        <v>869</v>
      </c>
      <c r="C789" t="s">
        <v>64</v>
      </c>
      <c r="D789" s="46" t="str" cm="1">
        <f t="array" ref="D789">_xlfn.XLOOKUP(C789,customers[Customer ID],customers[Gender],"")</f>
        <v>Female</v>
      </c>
      <c r="E789" s="46" cm="1">
        <f t="array" ref="E789">_xlfn.XLOOKUP(C789,customers[Customer ID],customers[Age],"")</f>
        <v>22</v>
      </c>
      <c r="F789" s="46" t="str" cm="1">
        <f t="array" ref="F789">_xlfn.XLOOKUP(C789,customers[Customer ID],customers[City],"")</f>
        <v>Cleveland</v>
      </c>
      <c r="G789">
        <v>142</v>
      </c>
      <c r="H789" s="47" t="s">
        <v>40</v>
      </c>
      <c r="I789" s="48">
        <v>45200</v>
      </c>
      <c r="J789">
        <v>44</v>
      </c>
      <c r="K789">
        <v>4.8</v>
      </c>
      <c r="L789">
        <f>IF(MONTH(calls[[#This Row],[Date of Call]])&lt;=6,YEAR(calls[[#This Row],[Date of Call]]),YEAR(calls[[#This Row],[Date of Call]])+1)</f>
        <v>2024</v>
      </c>
      <c r="M789" t="str">
        <f>TEXT(calls[[#This Row],[Date of Call]],"DDDD")</f>
        <v>Sunday</v>
      </c>
      <c r="N789" t="str" cm="1">
        <f t="array" ref="N78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89">
        <f>ROUND(calls[[#This Row],[Satisfaction Rating]],0)</f>
        <v>5</v>
      </c>
      <c r="P789" s="53">
        <f t="shared" si="12"/>
        <v>307</v>
      </c>
    </row>
    <row r="790" spans="2:16">
      <c r="B790" t="s">
        <v>870</v>
      </c>
      <c r="C790" t="s">
        <v>72</v>
      </c>
      <c r="D790" s="46" t="str" cm="1">
        <f t="array" ref="D790">_xlfn.XLOOKUP(C790,customers[Customer ID],customers[Gender],"")</f>
        <v>Female</v>
      </c>
      <c r="E790" s="46" cm="1">
        <f t="array" ref="E790">_xlfn.XLOOKUP(C790,customers[Customer ID],customers[Age],"")</f>
        <v>25</v>
      </c>
      <c r="F790" s="46" t="str" cm="1">
        <f t="array" ref="F790">_xlfn.XLOOKUP(C790,customers[Customer ID],customers[City],"")</f>
        <v>Columbus</v>
      </c>
      <c r="G790">
        <v>114</v>
      </c>
      <c r="H790" s="47" t="s">
        <v>38</v>
      </c>
      <c r="I790" s="48">
        <v>45201</v>
      </c>
      <c r="J790">
        <v>135</v>
      </c>
      <c r="K790">
        <v>2</v>
      </c>
      <c r="L790">
        <f>IF(MONTH(calls[[#This Row],[Date of Call]])&lt;=6,YEAR(calls[[#This Row],[Date of Call]]),YEAR(calls[[#This Row],[Date of Call]])+1)</f>
        <v>2024</v>
      </c>
      <c r="M790" t="str">
        <f>TEXT(calls[[#This Row],[Date of Call]],"DDDD")</f>
        <v>Monday</v>
      </c>
      <c r="N790" t="str" cm="1">
        <f t="array" ref="N7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90">
        <f>ROUND(calls[[#This Row],[Satisfaction Rating]],0)</f>
        <v>2</v>
      </c>
      <c r="P790" s="53">
        <f t="shared" si="12"/>
        <v>307</v>
      </c>
    </row>
    <row r="791" spans="2:16">
      <c r="B791" t="s">
        <v>871</v>
      </c>
      <c r="C791" t="s">
        <v>73</v>
      </c>
      <c r="D791" s="46" t="str" cm="1">
        <f t="array" ref="D791">_xlfn.XLOOKUP(C791,customers[Customer ID],customers[Gender],"")</f>
        <v>Female</v>
      </c>
      <c r="E791" s="46" cm="1">
        <f t="array" ref="E791">_xlfn.XLOOKUP(C791,customers[Customer ID],customers[Age],"")</f>
        <v>38</v>
      </c>
      <c r="F791" s="46" t="str" cm="1">
        <f t="array" ref="F791">_xlfn.XLOOKUP(C791,customers[Customer ID],customers[City],"")</f>
        <v>Columbus</v>
      </c>
      <c r="G791">
        <v>93</v>
      </c>
      <c r="H791" s="47" t="s">
        <v>36</v>
      </c>
      <c r="I791" s="48">
        <v>45201</v>
      </c>
      <c r="J791">
        <v>45</v>
      </c>
      <c r="K791">
        <v>3.9</v>
      </c>
      <c r="L791">
        <f>IF(MONTH(calls[[#This Row],[Date of Call]])&lt;=6,YEAR(calls[[#This Row],[Date of Call]]),YEAR(calls[[#This Row],[Date of Call]])+1)</f>
        <v>2024</v>
      </c>
      <c r="M791" t="str">
        <f>TEXT(calls[[#This Row],[Date of Call]],"DDDD")</f>
        <v>Monday</v>
      </c>
      <c r="N791" t="str" cm="1">
        <f t="array" ref="N7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91">
        <f>ROUND(calls[[#This Row],[Satisfaction Rating]],0)</f>
        <v>4</v>
      </c>
      <c r="P791" s="53">
        <f t="shared" si="12"/>
        <v>307</v>
      </c>
    </row>
    <row r="792" spans="2:16">
      <c r="B792" t="s">
        <v>872</v>
      </c>
      <c r="C792" t="s">
        <v>69</v>
      </c>
      <c r="D792" s="46" t="str" cm="1">
        <f t="array" ref="D792">_xlfn.XLOOKUP(C792,customers[Customer ID],customers[Gender],"")</f>
        <v>Male</v>
      </c>
      <c r="E792" s="46" cm="1">
        <f t="array" ref="E792">_xlfn.XLOOKUP(C792,customers[Customer ID],customers[Age],"")</f>
        <v>41</v>
      </c>
      <c r="F792" s="46" t="str" cm="1">
        <f t="array" ref="F792">_xlfn.XLOOKUP(C792,customers[Customer ID],customers[City],"")</f>
        <v>Columbus</v>
      </c>
      <c r="G792">
        <v>43</v>
      </c>
      <c r="H792" s="47" t="s">
        <v>36</v>
      </c>
      <c r="I792" s="48">
        <v>45201</v>
      </c>
      <c r="J792">
        <v>87</v>
      </c>
      <c r="K792">
        <v>3</v>
      </c>
      <c r="L792">
        <f>IF(MONTH(calls[[#This Row],[Date of Call]])&lt;=6,YEAR(calls[[#This Row],[Date of Call]]),YEAR(calls[[#This Row],[Date of Call]])+1)</f>
        <v>2024</v>
      </c>
      <c r="M792" t="str">
        <f>TEXT(calls[[#This Row],[Date of Call]],"DDDD")</f>
        <v>Monday</v>
      </c>
      <c r="N792" t="str" cm="1">
        <f t="array" ref="N79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92">
        <f>ROUND(calls[[#This Row],[Satisfaction Rating]],0)</f>
        <v>3</v>
      </c>
      <c r="P792" s="53">
        <f t="shared" si="12"/>
        <v>307</v>
      </c>
    </row>
    <row r="793" spans="2:16">
      <c r="B793" t="s">
        <v>873</v>
      </c>
      <c r="C793" t="s">
        <v>63</v>
      </c>
      <c r="D793" s="46" t="str" cm="1">
        <f t="array" ref="D793">_xlfn.XLOOKUP(C793,customers[Customer ID],customers[Gender],"")</f>
        <v>Male</v>
      </c>
      <c r="E793" s="46" cm="1">
        <f t="array" ref="E793">_xlfn.XLOOKUP(C793,customers[Customer ID],customers[Age],"")</f>
        <v>31</v>
      </c>
      <c r="F793" s="46" t="str" cm="1">
        <f t="array" ref="F793">_xlfn.XLOOKUP(C793,customers[Customer ID],customers[City],"")</f>
        <v>Cleveland</v>
      </c>
      <c r="G793">
        <v>78</v>
      </c>
      <c r="H793" s="47" t="s">
        <v>39</v>
      </c>
      <c r="I793" s="48">
        <v>45202</v>
      </c>
      <c r="J793">
        <v>84</v>
      </c>
      <c r="K793">
        <v>4.6</v>
      </c>
      <c r="L793">
        <f>IF(MONTH(calls[[#This Row],[Date of Call]])&lt;=6,YEAR(calls[[#This Row],[Date of Call]]),YEAR(calls[[#This Row],[Date of Call]])+1)</f>
        <v>2024</v>
      </c>
      <c r="M793" t="str">
        <f>TEXT(calls[[#This Row],[Date of Call]],"DDDD")</f>
        <v>Tuesday</v>
      </c>
      <c r="N793" t="str" cm="1">
        <f t="array" ref="N7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93">
        <f>ROUND(calls[[#This Row],[Satisfaction Rating]],0)</f>
        <v>5</v>
      </c>
      <c r="P793" s="53">
        <f t="shared" si="12"/>
        <v>307</v>
      </c>
    </row>
    <row r="794" spans="2:16">
      <c r="B794" t="s">
        <v>874</v>
      </c>
      <c r="C794" t="s">
        <v>72</v>
      </c>
      <c r="D794" s="46" t="str" cm="1">
        <f t="array" ref="D794">_xlfn.XLOOKUP(C794,customers[Customer ID],customers[Gender],"")</f>
        <v>Female</v>
      </c>
      <c r="E794" s="46" cm="1">
        <f t="array" ref="E794">_xlfn.XLOOKUP(C794,customers[Customer ID],customers[Age],"")</f>
        <v>25</v>
      </c>
      <c r="F794" s="46" t="str" cm="1">
        <f t="array" ref="F794">_xlfn.XLOOKUP(C794,customers[Customer ID],customers[City],"")</f>
        <v>Columbus</v>
      </c>
      <c r="G794">
        <v>89</v>
      </c>
      <c r="H794" s="47" t="s">
        <v>40</v>
      </c>
      <c r="I794" s="48">
        <v>45202</v>
      </c>
      <c r="J794">
        <v>81</v>
      </c>
      <c r="K794">
        <v>3.8</v>
      </c>
      <c r="L794">
        <f>IF(MONTH(calls[[#This Row],[Date of Call]])&lt;=6,YEAR(calls[[#This Row],[Date of Call]]),YEAR(calls[[#This Row],[Date of Call]])+1)</f>
        <v>2024</v>
      </c>
      <c r="M794" t="str">
        <f>TEXT(calls[[#This Row],[Date of Call]],"DDDD")</f>
        <v>Tuesday</v>
      </c>
      <c r="N794" t="str" cm="1">
        <f t="array" ref="N79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94">
        <f>ROUND(calls[[#This Row],[Satisfaction Rating]],0)</f>
        <v>4</v>
      </c>
      <c r="P794" s="53">
        <f t="shared" si="12"/>
        <v>307</v>
      </c>
    </row>
    <row r="795" spans="2:16">
      <c r="B795" t="s">
        <v>875</v>
      </c>
      <c r="C795" t="s">
        <v>64</v>
      </c>
      <c r="D795" s="46" t="str" cm="1">
        <f t="array" ref="D795">_xlfn.XLOOKUP(C795,customers[Customer ID],customers[Gender],"")</f>
        <v>Female</v>
      </c>
      <c r="E795" s="46" cm="1">
        <f t="array" ref="E795">_xlfn.XLOOKUP(C795,customers[Customer ID],customers[Age],"")</f>
        <v>22</v>
      </c>
      <c r="F795" s="46" t="str" cm="1">
        <f t="array" ref="F795">_xlfn.XLOOKUP(C795,customers[Customer ID],customers[City],"")</f>
        <v>Cleveland</v>
      </c>
      <c r="G795">
        <v>82</v>
      </c>
      <c r="H795" s="47" t="s">
        <v>37</v>
      </c>
      <c r="I795" s="48">
        <v>45202</v>
      </c>
      <c r="J795">
        <v>130</v>
      </c>
      <c r="K795">
        <v>4.4</v>
      </c>
      <c r="L795">
        <f>IF(MONTH(calls[[#This Row],[Date of Call]])&lt;=6,YEAR(calls[[#This Row],[Date of Call]]),YEAR(calls[[#This Row],[Date of Call]])+1)</f>
        <v>2024</v>
      </c>
      <c r="M795" t="str">
        <f>TEXT(calls[[#This Row],[Date of Call]],"DDDD")</f>
        <v>Tuesday</v>
      </c>
      <c r="N795" t="str" cm="1">
        <f t="array" ref="N79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95">
        <f>ROUND(calls[[#This Row],[Satisfaction Rating]],0)</f>
        <v>4</v>
      </c>
      <c r="P795" s="53">
        <f t="shared" si="12"/>
        <v>307</v>
      </c>
    </row>
    <row r="796" spans="2:16">
      <c r="B796" t="s">
        <v>876</v>
      </c>
      <c r="C796" t="s">
        <v>61</v>
      </c>
      <c r="D796" s="46" t="str" cm="1">
        <f t="array" ref="D796">_xlfn.XLOOKUP(C796,customers[Customer ID],customers[Gender],"")</f>
        <v>Female</v>
      </c>
      <c r="E796" s="46" cm="1">
        <f t="array" ref="E796">_xlfn.XLOOKUP(C796,customers[Customer ID],customers[Age],"")</f>
        <v>30</v>
      </c>
      <c r="F796" s="46" t="str" cm="1">
        <f t="array" ref="F796">_xlfn.XLOOKUP(C796,customers[Customer ID],customers[City],"")</f>
        <v>Cincinnati</v>
      </c>
      <c r="G796">
        <v>86</v>
      </c>
      <c r="H796" s="47" t="s">
        <v>40</v>
      </c>
      <c r="I796" s="48">
        <v>45203</v>
      </c>
      <c r="J796">
        <v>92</v>
      </c>
      <c r="K796">
        <v>2.4</v>
      </c>
      <c r="L796">
        <f>IF(MONTH(calls[[#This Row],[Date of Call]])&lt;=6,YEAR(calls[[#This Row],[Date of Call]]),YEAR(calls[[#This Row],[Date of Call]])+1)</f>
        <v>2024</v>
      </c>
      <c r="M796" t="str">
        <f>TEXT(calls[[#This Row],[Date of Call]],"DDDD")</f>
        <v>Wednesday</v>
      </c>
      <c r="N796" t="str" cm="1">
        <f t="array" ref="N79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96">
        <f>ROUND(calls[[#This Row],[Satisfaction Rating]],0)</f>
        <v>2</v>
      </c>
      <c r="P796" s="53">
        <f t="shared" si="12"/>
        <v>307</v>
      </c>
    </row>
    <row r="797" spans="2:16">
      <c r="B797" t="s">
        <v>877</v>
      </c>
      <c r="C797" t="s">
        <v>62</v>
      </c>
      <c r="D797" s="46" t="str" cm="1">
        <f t="array" ref="D797">_xlfn.XLOOKUP(C797,customers[Customer ID],customers[Gender],"")</f>
        <v>Female</v>
      </c>
      <c r="E797" s="46" cm="1">
        <f t="array" ref="E797">_xlfn.XLOOKUP(C797,customers[Customer ID],customers[Age],"")</f>
        <v>28</v>
      </c>
      <c r="F797" s="46" t="str" cm="1">
        <f t="array" ref="F797">_xlfn.XLOOKUP(C797,customers[Customer ID],customers[City],"")</f>
        <v>Cincinnati</v>
      </c>
      <c r="G797">
        <v>57</v>
      </c>
      <c r="H797" s="47" t="s">
        <v>39</v>
      </c>
      <c r="I797" s="48">
        <v>45203</v>
      </c>
      <c r="J797">
        <v>48</v>
      </c>
      <c r="K797">
        <v>4.5</v>
      </c>
      <c r="L797">
        <f>IF(MONTH(calls[[#This Row],[Date of Call]])&lt;=6,YEAR(calls[[#This Row],[Date of Call]]),YEAR(calls[[#This Row],[Date of Call]])+1)</f>
        <v>2024</v>
      </c>
      <c r="M797" t="str">
        <f>TEXT(calls[[#This Row],[Date of Call]],"DDDD")</f>
        <v>Wednesday</v>
      </c>
      <c r="N797" t="str" cm="1">
        <f t="array" ref="N79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797">
        <f>ROUND(calls[[#This Row],[Satisfaction Rating]],0)</f>
        <v>5</v>
      </c>
      <c r="P797" s="53">
        <f t="shared" si="12"/>
        <v>307</v>
      </c>
    </row>
    <row r="798" spans="2:16">
      <c r="B798" t="s">
        <v>878</v>
      </c>
      <c r="C798" t="s">
        <v>73</v>
      </c>
      <c r="D798" s="46" t="str" cm="1">
        <f t="array" ref="D798">_xlfn.XLOOKUP(C798,customers[Customer ID],customers[Gender],"")</f>
        <v>Female</v>
      </c>
      <c r="E798" s="46" cm="1">
        <f t="array" ref="E798">_xlfn.XLOOKUP(C798,customers[Customer ID],customers[Age],"")</f>
        <v>38</v>
      </c>
      <c r="F798" s="46" t="str" cm="1">
        <f t="array" ref="F798">_xlfn.XLOOKUP(C798,customers[Customer ID],customers[City],"")</f>
        <v>Columbus</v>
      </c>
      <c r="G798">
        <v>103</v>
      </c>
      <c r="H798" s="47" t="s">
        <v>38</v>
      </c>
      <c r="I798" s="48">
        <v>45203</v>
      </c>
      <c r="J798">
        <v>160</v>
      </c>
      <c r="K798">
        <v>4.5</v>
      </c>
      <c r="L798">
        <f>IF(MONTH(calls[[#This Row],[Date of Call]])&lt;=6,YEAR(calls[[#This Row],[Date of Call]]),YEAR(calls[[#This Row],[Date of Call]])+1)</f>
        <v>2024</v>
      </c>
      <c r="M798" t="str">
        <f>TEXT(calls[[#This Row],[Date of Call]],"DDDD")</f>
        <v>Wednesday</v>
      </c>
      <c r="N798" t="str" cm="1">
        <f t="array" ref="N7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798">
        <f>ROUND(calls[[#This Row],[Satisfaction Rating]],0)</f>
        <v>5</v>
      </c>
      <c r="P798" s="53">
        <f t="shared" si="12"/>
        <v>307</v>
      </c>
    </row>
    <row r="799" spans="2:16">
      <c r="B799" t="s">
        <v>879</v>
      </c>
      <c r="C799" t="s">
        <v>67</v>
      </c>
      <c r="D799" s="46" t="str" cm="1">
        <f t="array" ref="D799">_xlfn.XLOOKUP(C799,customers[Customer ID],customers[Gender],"")</f>
        <v>Female</v>
      </c>
      <c r="E799" s="46" cm="1">
        <f t="array" ref="E799">_xlfn.XLOOKUP(C799,customers[Customer ID],customers[Age],"")</f>
        <v>37</v>
      </c>
      <c r="F799" s="46" t="str" cm="1">
        <f t="array" ref="F799">_xlfn.XLOOKUP(C799,customers[Customer ID],customers[City],"")</f>
        <v>Cleveland</v>
      </c>
      <c r="G799">
        <v>138</v>
      </c>
      <c r="H799" s="47" t="s">
        <v>39</v>
      </c>
      <c r="I799" s="48">
        <v>45204</v>
      </c>
      <c r="J799">
        <v>155</v>
      </c>
      <c r="K799">
        <v>2.7</v>
      </c>
      <c r="L799">
        <f>IF(MONTH(calls[[#This Row],[Date of Call]])&lt;=6,YEAR(calls[[#This Row],[Date of Call]]),YEAR(calls[[#This Row],[Date of Call]])+1)</f>
        <v>2024</v>
      </c>
      <c r="M799" t="str">
        <f>TEXT(calls[[#This Row],[Date of Call]],"DDDD")</f>
        <v>Thursday</v>
      </c>
      <c r="N799" t="str" cm="1">
        <f t="array" ref="N79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799">
        <f>ROUND(calls[[#This Row],[Satisfaction Rating]],0)</f>
        <v>3</v>
      </c>
      <c r="P799" s="53">
        <f t="shared" si="12"/>
        <v>307</v>
      </c>
    </row>
    <row r="800" spans="2:16">
      <c r="B800" t="s">
        <v>880</v>
      </c>
      <c r="C800" t="s">
        <v>66</v>
      </c>
      <c r="D800" s="46" t="str" cm="1">
        <f t="array" ref="D800">_xlfn.XLOOKUP(C800,customers[Customer ID],customers[Gender],"")</f>
        <v>Female</v>
      </c>
      <c r="E800" s="46" cm="1">
        <f t="array" ref="E800">_xlfn.XLOOKUP(C800,customers[Customer ID],customers[Age],"")</f>
        <v>30</v>
      </c>
      <c r="F800" s="46" t="str" cm="1">
        <f t="array" ref="F800">_xlfn.XLOOKUP(C800,customers[Customer ID],customers[City],"")</f>
        <v>Cleveland</v>
      </c>
      <c r="G800">
        <v>88</v>
      </c>
      <c r="H800" s="47" t="s">
        <v>37</v>
      </c>
      <c r="I800" s="48">
        <v>45204</v>
      </c>
      <c r="J800">
        <v>100</v>
      </c>
      <c r="K800">
        <v>4.9</v>
      </c>
      <c r="L800">
        <f>IF(MONTH(calls[[#This Row],[Date of Call]])&lt;=6,YEAR(calls[[#This Row],[Date of Call]]),YEAR(calls[[#This Row],[Date of Call]])+1)</f>
        <v>2024</v>
      </c>
      <c r="M800" t="str">
        <f>TEXT(calls[[#This Row],[Date of Call]],"DDDD")</f>
        <v>Thursday</v>
      </c>
      <c r="N800" t="str" cm="1">
        <f t="array" ref="N8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00">
        <f>ROUND(calls[[#This Row],[Satisfaction Rating]],0)</f>
        <v>5</v>
      </c>
      <c r="P800" s="53">
        <f t="shared" si="12"/>
        <v>307</v>
      </c>
    </row>
    <row r="801" spans="2:16">
      <c r="B801" t="s">
        <v>881</v>
      </c>
      <c r="C801" t="s">
        <v>72</v>
      </c>
      <c r="D801" s="46" t="str" cm="1">
        <f t="array" ref="D801">_xlfn.XLOOKUP(C801,customers[Customer ID],customers[Gender],"")</f>
        <v>Female</v>
      </c>
      <c r="E801" s="46" cm="1">
        <f t="array" ref="E801">_xlfn.XLOOKUP(C801,customers[Customer ID],customers[Age],"")</f>
        <v>25</v>
      </c>
      <c r="F801" s="46" t="str" cm="1">
        <f t="array" ref="F801">_xlfn.XLOOKUP(C801,customers[Customer ID],customers[City],"")</f>
        <v>Columbus</v>
      </c>
      <c r="G801">
        <v>118</v>
      </c>
      <c r="H801" s="47" t="s">
        <v>36</v>
      </c>
      <c r="I801" s="48">
        <v>45204</v>
      </c>
      <c r="J801">
        <v>56</v>
      </c>
      <c r="K801">
        <v>3.7</v>
      </c>
      <c r="L801">
        <f>IF(MONTH(calls[[#This Row],[Date of Call]])&lt;=6,YEAR(calls[[#This Row],[Date of Call]]),YEAR(calls[[#This Row],[Date of Call]])+1)</f>
        <v>2024</v>
      </c>
      <c r="M801" t="str">
        <f>TEXT(calls[[#This Row],[Date of Call]],"DDDD")</f>
        <v>Thursday</v>
      </c>
      <c r="N801" t="str" cm="1">
        <f t="array" ref="N8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01">
        <f>ROUND(calls[[#This Row],[Satisfaction Rating]],0)</f>
        <v>4</v>
      </c>
      <c r="P801" s="53">
        <f t="shared" si="12"/>
        <v>307</v>
      </c>
    </row>
    <row r="802" spans="2:16">
      <c r="B802" t="s">
        <v>882</v>
      </c>
      <c r="C802" t="s">
        <v>61</v>
      </c>
      <c r="D802" s="46" t="str" cm="1">
        <f t="array" ref="D802">_xlfn.XLOOKUP(C802,customers[Customer ID],customers[Gender],"")</f>
        <v>Female</v>
      </c>
      <c r="E802" s="46" cm="1">
        <f t="array" ref="E802">_xlfn.XLOOKUP(C802,customers[Customer ID],customers[Age],"")</f>
        <v>30</v>
      </c>
      <c r="F802" s="46" t="str" cm="1">
        <f t="array" ref="F802">_xlfn.XLOOKUP(C802,customers[Customer ID],customers[City],"")</f>
        <v>Cincinnati</v>
      </c>
      <c r="G802">
        <v>4</v>
      </c>
      <c r="H802" s="47" t="s">
        <v>40</v>
      </c>
      <c r="I802" s="48">
        <v>45204</v>
      </c>
      <c r="J802">
        <v>170</v>
      </c>
      <c r="K802">
        <v>3.9</v>
      </c>
      <c r="L802">
        <f>IF(MONTH(calls[[#This Row],[Date of Call]])&lt;=6,YEAR(calls[[#This Row],[Date of Call]]),YEAR(calls[[#This Row],[Date of Call]])+1)</f>
        <v>2024</v>
      </c>
      <c r="M802" t="str">
        <f>TEXT(calls[[#This Row],[Date of Call]],"DDDD")</f>
        <v>Thursday</v>
      </c>
      <c r="N802" t="str" cm="1">
        <f t="array" ref="N802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O802">
        <f>ROUND(calls[[#This Row],[Satisfaction Rating]],0)</f>
        <v>4</v>
      </c>
      <c r="P802" s="53">
        <f t="shared" si="12"/>
        <v>307</v>
      </c>
    </row>
    <row r="803" spans="2:16">
      <c r="B803" t="s">
        <v>883</v>
      </c>
      <c r="C803" t="s">
        <v>69</v>
      </c>
      <c r="D803" s="46" t="str" cm="1">
        <f t="array" ref="D803">_xlfn.XLOOKUP(C803,customers[Customer ID],customers[Gender],"")</f>
        <v>Male</v>
      </c>
      <c r="E803" s="46" cm="1">
        <f t="array" ref="E803">_xlfn.XLOOKUP(C803,customers[Customer ID],customers[Age],"")</f>
        <v>41</v>
      </c>
      <c r="F803" s="46" t="str" cm="1">
        <f t="array" ref="F803">_xlfn.XLOOKUP(C803,customers[Customer ID],customers[City],"")</f>
        <v>Columbus</v>
      </c>
      <c r="G803">
        <v>78</v>
      </c>
      <c r="H803" s="47" t="s">
        <v>38</v>
      </c>
      <c r="I803" s="48">
        <v>45205</v>
      </c>
      <c r="J803">
        <v>74</v>
      </c>
      <c r="K803">
        <v>3.5</v>
      </c>
      <c r="L803">
        <f>IF(MONTH(calls[[#This Row],[Date of Call]])&lt;=6,YEAR(calls[[#This Row],[Date of Call]]),YEAR(calls[[#This Row],[Date of Call]])+1)</f>
        <v>2024</v>
      </c>
      <c r="M803" t="str">
        <f>TEXT(calls[[#This Row],[Date of Call]],"DDDD")</f>
        <v>Friday</v>
      </c>
      <c r="N803" t="str" cm="1">
        <f t="array" ref="N8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03">
        <f>ROUND(calls[[#This Row],[Satisfaction Rating]],0)</f>
        <v>4</v>
      </c>
      <c r="P803" s="53">
        <f t="shared" si="12"/>
        <v>307</v>
      </c>
    </row>
    <row r="804" spans="2:16">
      <c r="B804" t="s">
        <v>884</v>
      </c>
      <c r="C804" t="s">
        <v>71</v>
      </c>
      <c r="D804" s="46" t="str" cm="1">
        <f t="array" ref="D804">_xlfn.XLOOKUP(C804,customers[Customer ID],customers[Gender],"")</f>
        <v>Male</v>
      </c>
      <c r="E804" s="46" cm="1">
        <f t="array" ref="E804">_xlfn.XLOOKUP(C804,customers[Customer ID],customers[Age],"")</f>
        <v>23</v>
      </c>
      <c r="F804" s="46" t="str" cm="1">
        <f t="array" ref="F804">_xlfn.XLOOKUP(C804,customers[Customer ID],customers[City],"")</f>
        <v>Columbus</v>
      </c>
      <c r="G804">
        <v>69</v>
      </c>
      <c r="H804" s="47" t="s">
        <v>40</v>
      </c>
      <c r="I804" s="48">
        <v>45205</v>
      </c>
      <c r="J804">
        <v>99</v>
      </c>
      <c r="K804">
        <v>2.7</v>
      </c>
      <c r="L804">
        <f>IF(MONTH(calls[[#This Row],[Date of Call]])&lt;=6,YEAR(calls[[#This Row],[Date of Call]]),YEAR(calls[[#This Row],[Date of Call]])+1)</f>
        <v>2024</v>
      </c>
      <c r="M804" t="str">
        <f>TEXT(calls[[#This Row],[Date of Call]],"DDDD")</f>
        <v>Friday</v>
      </c>
      <c r="N804" t="str" cm="1">
        <f t="array" ref="N80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04">
        <f>ROUND(calls[[#This Row],[Satisfaction Rating]],0)</f>
        <v>3</v>
      </c>
      <c r="P804" s="53">
        <f t="shared" si="12"/>
        <v>307</v>
      </c>
    </row>
    <row r="805" spans="2:16">
      <c r="B805" t="s">
        <v>885</v>
      </c>
      <c r="C805" t="s">
        <v>64</v>
      </c>
      <c r="D805" s="46" t="str" cm="1">
        <f t="array" ref="D805">_xlfn.XLOOKUP(C805,customers[Customer ID],customers[Gender],"")</f>
        <v>Female</v>
      </c>
      <c r="E805" s="46" cm="1">
        <f t="array" ref="E805">_xlfn.XLOOKUP(C805,customers[Customer ID],customers[Age],"")</f>
        <v>22</v>
      </c>
      <c r="F805" s="46" t="str" cm="1">
        <f t="array" ref="F805">_xlfn.XLOOKUP(C805,customers[Customer ID],customers[City],"")</f>
        <v>Cleveland</v>
      </c>
      <c r="G805">
        <v>90</v>
      </c>
      <c r="H805" s="47" t="s">
        <v>39</v>
      </c>
      <c r="I805" s="48">
        <v>45205</v>
      </c>
      <c r="J805">
        <v>84</v>
      </c>
      <c r="K805">
        <v>3.9</v>
      </c>
      <c r="L805">
        <f>IF(MONTH(calls[[#This Row],[Date of Call]])&lt;=6,YEAR(calls[[#This Row],[Date of Call]]),YEAR(calls[[#This Row],[Date of Call]])+1)</f>
        <v>2024</v>
      </c>
      <c r="M805" t="str">
        <f>TEXT(calls[[#This Row],[Date of Call]],"DDDD")</f>
        <v>Friday</v>
      </c>
      <c r="N805" t="str" cm="1">
        <f t="array" ref="N80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05">
        <f>ROUND(calls[[#This Row],[Satisfaction Rating]],0)</f>
        <v>4</v>
      </c>
      <c r="P805" s="53">
        <f t="shared" si="12"/>
        <v>307</v>
      </c>
    </row>
    <row r="806" spans="2:16">
      <c r="B806" t="s">
        <v>886</v>
      </c>
      <c r="C806" t="s">
        <v>71</v>
      </c>
      <c r="D806" s="46" t="str" cm="1">
        <f t="array" ref="D806">_xlfn.XLOOKUP(C806,customers[Customer ID],customers[Gender],"")</f>
        <v>Male</v>
      </c>
      <c r="E806" s="46" cm="1">
        <f t="array" ref="E806">_xlfn.XLOOKUP(C806,customers[Customer ID],customers[Age],"")</f>
        <v>23</v>
      </c>
      <c r="F806" s="46" t="str" cm="1">
        <f t="array" ref="F806">_xlfn.XLOOKUP(C806,customers[Customer ID],customers[City],"")</f>
        <v>Columbus</v>
      </c>
      <c r="G806">
        <v>134</v>
      </c>
      <c r="H806" s="47" t="s">
        <v>40</v>
      </c>
      <c r="I806" s="48">
        <v>45205</v>
      </c>
      <c r="J806">
        <v>35</v>
      </c>
      <c r="K806">
        <v>3.4</v>
      </c>
      <c r="L806">
        <f>IF(MONTH(calls[[#This Row],[Date of Call]])&lt;=6,YEAR(calls[[#This Row],[Date of Call]]),YEAR(calls[[#This Row],[Date of Call]])+1)</f>
        <v>2024</v>
      </c>
      <c r="M806" t="str">
        <f>TEXT(calls[[#This Row],[Date of Call]],"DDDD")</f>
        <v>Friday</v>
      </c>
      <c r="N806" t="str" cm="1">
        <f t="array" ref="N80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06">
        <f>ROUND(calls[[#This Row],[Satisfaction Rating]],0)</f>
        <v>3</v>
      </c>
      <c r="P806" s="53">
        <f t="shared" si="12"/>
        <v>307</v>
      </c>
    </row>
    <row r="807" spans="2:16">
      <c r="B807" t="s">
        <v>887</v>
      </c>
      <c r="C807" t="s">
        <v>60</v>
      </c>
      <c r="D807" s="46" t="str" cm="1">
        <f t="array" ref="D807">_xlfn.XLOOKUP(C807,customers[Customer ID],customers[Gender],"")</f>
        <v>Male</v>
      </c>
      <c r="E807" s="46" cm="1">
        <f t="array" ref="E807">_xlfn.XLOOKUP(C807,customers[Customer ID],customers[Age],"")</f>
        <v>36</v>
      </c>
      <c r="F807" s="46" t="str" cm="1">
        <f t="array" ref="F807">_xlfn.XLOOKUP(C807,customers[Customer ID],customers[City],"")</f>
        <v>Cincinnati</v>
      </c>
      <c r="G807">
        <v>65</v>
      </c>
      <c r="H807" s="47" t="s">
        <v>36</v>
      </c>
      <c r="I807" s="48">
        <v>45205</v>
      </c>
      <c r="J807">
        <v>150</v>
      </c>
      <c r="K807">
        <v>5</v>
      </c>
      <c r="L807">
        <f>IF(MONTH(calls[[#This Row],[Date of Call]])&lt;=6,YEAR(calls[[#This Row],[Date of Call]]),YEAR(calls[[#This Row],[Date of Call]])+1)</f>
        <v>2024</v>
      </c>
      <c r="M807" t="str">
        <f>TEXT(calls[[#This Row],[Date of Call]],"DDDD")</f>
        <v>Friday</v>
      </c>
      <c r="N807" t="str" cm="1">
        <f t="array" ref="N8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07">
        <f>ROUND(calls[[#This Row],[Satisfaction Rating]],0)</f>
        <v>5</v>
      </c>
      <c r="P807" s="53">
        <f t="shared" si="12"/>
        <v>307</v>
      </c>
    </row>
    <row r="808" spans="2:16">
      <c r="B808" t="s">
        <v>888</v>
      </c>
      <c r="C808" t="s">
        <v>70</v>
      </c>
      <c r="D808" s="46" t="str" cm="1">
        <f t="array" ref="D808">_xlfn.XLOOKUP(C808,customers[Customer ID],customers[Gender],"")</f>
        <v>Male</v>
      </c>
      <c r="E808" s="46" cm="1">
        <f t="array" ref="E808">_xlfn.XLOOKUP(C808,customers[Customer ID],customers[Age],"")</f>
        <v>37</v>
      </c>
      <c r="F808" s="46" t="str" cm="1">
        <f t="array" ref="F808">_xlfn.XLOOKUP(C808,customers[Customer ID],customers[City],"")</f>
        <v>Columbus</v>
      </c>
      <c r="G808">
        <v>54</v>
      </c>
      <c r="H808" s="47" t="s">
        <v>38</v>
      </c>
      <c r="I808" s="48">
        <v>45206</v>
      </c>
      <c r="J808">
        <v>176</v>
      </c>
      <c r="K808">
        <v>4.4</v>
      </c>
      <c r="L808">
        <f>IF(MONTH(calls[[#This Row],[Date of Call]])&lt;=6,YEAR(calls[[#This Row],[Date of Call]]),YEAR(calls[[#This Row],[Date of Call]])+1)</f>
        <v>2024</v>
      </c>
      <c r="M808" t="str">
        <f>TEXT(calls[[#This Row],[Date of Call]],"DDDD")</f>
        <v>Saturday</v>
      </c>
      <c r="N808" t="str" cm="1">
        <f t="array" ref="N80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08">
        <f>ROUND(calls[[#This Row],[Satisfaction Rating]],0)</f>
        <v>4</v>
      </c>
      <c r="P808" s="53">
        <f t="shared" si="12"/>
        <v>307</v>
      </c>
    </row>
    <row r="809" spans="2:16">
      <c r="B809" t="s">
        <v>889</v>
      </c>
      <c r="C809" t="s">
        <v>70</v>
      </c>
      <c r="D809" s="46" t="str" cm="1">
        <f t="array" ref="D809">_xlfn.XLOOKUP(C809,customers[Customer ID],customers[Gender],"")</f>
        <v>Male</v>
      </c>
      <c r="E809" s="46" cm="1">
        <f t="array" ref="E809">_xlfn.XLOOKUP(C809,customers[Customer ID],customers[Age],"")</f>
        <v>37</v>
      </c>
      <c r="F809" s="46" t="str" cm="1">
        <f t="array" ref="F809">_xlfn.XLOOKUP(C809,customers[Customer ID],customers[City],"")</f>
        <v>Columbus</v>
      </c>
      <c r="G809">
        <v>90</v>
      </c>
      <c r="H809" s="47" t="s">
        <v>38</v>
      </c>
      <c r="I809" s="48">
        <v>45206</v>
      </c>
      <c r="J809">
        <v>84</v>
      </c>
      <c r="K809">
        <v>4.3</v>
      </c>
      <c r="L809">
        <f>IF(MONTH(calls[[#This Row],[Date of Call]])&lt;=6,YEAR(calls[[#This Row],[Date of Call]]),YEAR(calls[[#This Row],[Date of Call]])+1)</f>
        <v>2024</v>
      </c>
      <c r="M809" t="str">
        <f>TEXT(calls[[#This Row],[Date of Call]],"DDDD")</f>
        <v>Saturday</v>
      </c>
      <c r="N809" t="str" cm="1">
        <f t="array" ref="N8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09">
        <f>ROUND(calls[[#This Row],[Satisfaction Rating]],0)</f>
        <v>4</v>
      </c>
      <c r="P809" s="53">
        <f t="shared" si="12"/>
        <v>307</v>
      </c>
    </row>
    <row r="810" spans="2:16">
      <c r="B810" t="s">
        <v>890</v>
      </c>
      <c r="C810" t="s">
        <v>64</v>
      </c>
      <c r="D810" s="46" t="str" cm="1">
        <f t="array" ref="D810">_xlfn.XLOOKUP(C810,customers[Customer ID],customers[Gender],"")</f>
        <v>Female</v>
      </c>
      <c r="E810" s="46" cm="1">
        <f t="array" ref="E810">_xlfn.XLOOKUP(C810,customers[Customer ID],customers[Age],"")</f>
        <v>22</v>
      </c>
      <c r="F810" s="46" t="str" cm="1">
        <f t="array" ref="F810">_xlfn.XLOOKUP(C810,customers[Customer ID],customers[City],"")</f>
        <v>Cleveland</v>
      </c>
      <c r="G810">
        <v>66</v>
      </c>
      <c r="H810" s="47" t="s">
        <v>38</v>
      </c>
      <c r="I810" s="48">
        <v>45206</v>
      </c>
      <c r="J810">
        <v>136</v>
      </c>
      <c r="K810">
        <v>4.7</v>
      </c>
      <c r="L810">
        <f>IF(MONTH(calls[[#This Row],[Date of Call]])&lt;=6,YEAR(calls[[#This Row],[Date of Call]]),YEAR(calls[[#This Row],[Date of Call]])+1)</f>
        <v>2024</v>
      </c>
      <c r="M810" t="str">
        <f>TEXT(calls[[#This Row],[Date of Call]],"DDDD")</f>
        <v>Saturday</v>
      </c>
      <c r="N810" t="str" cm="1">
        <f t="array" ref="N8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10">
        <f>ROUND(calls[[#This Row],[Satisfaction Rating]],0)</f>
        <v>5</v>
      </c>
      <c r="P810" s="53">
        <f t="shared" si="12"/>
        <v>307</v>
      </c>
    </row>
    <row r="811" spans="2:16">
      <c r="B811" t="s">
        <v>891</v>
      </c>
      <c r="C811" t="s">
        <v>61</v>
      </c>
      <c r="D811" s="46" t="str" cm="1">
        <f t="array" ref="D811">_xlfn.XLOOKUP(C811,customers[Customer ID],customers[Gender],"")</f>
        <v>Female</v>
      </c>
      <c r="E811" s="46" cm="1">
        <f t="array" ref="E811">_xlfn.XLOOKUP(C811,customers[Customer ID],customers[Age],"")</f>
        <v>30</v>
      </c>
      <c r="F811" s="46" t="str" cm="1">
        <f t="array" ref="F811">_xlfn.XLOOKUP(C811,customers[Customer ID],customers[City],"")</f>
        <v>Cincinnati</v>
      </c>
      <c r="G811">
        <v>150</v>
      </c>
      <c r="H811" s="47" t="s">
        <v>38</v>
      </c>
      <c r="I811" s="48">
        <v>45207</v>
      </c>
      <c r="J811">
        <v>70</v>
      </c>
      <c r="K811">
        <v>4.1</v>
      </c>
      <c r="L811">
        <f>IF(MONTH(calls[[#This Row],[Date of Call]])&lt;=6,YEAR(calls[[#This Row],[Date of Call]]),YEAR(calls[[#This Row],[Date of Call]])+1)</f>
        <v>2024</v>
      </c>
      <c r="M811" t="str">
        <f>TEXT(calls[[#This Row],[Date of Call]],"DDDD")</f>
        <v>Sunday</v>
      </c>
      <c r="N811" t="str" cm="1">
        <f t="array" ref="N81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11">
        <f>ROUND(calls[[#This Row],[Satisfaction Rating]],0)</f>
        <v>4</v>
      </c>
      <c r="P811" s="53">
        <f t="shared" si="12"/>
        <v>307</v>
      </c>
    </row>
    <row r="812" spans="2:16">
      <c r="B812" t="s">
        <v>892</v>
      </c>
      <c r="C812" t="s">
        <v>63</v>
      </c>
      <c r="D812" s="46" t="str" cm="1">
        <f t="array" ref="D812">_xlfn.XLOOKUP(C812,customers[Customer ID],customers[Gender],"")</f>
        <v>Male</v>
      </c>
      <c r="E812" s="46" cm="1">
        <f t="array" ref="E812">_xlfn.XLOOKUP(C812,customers[Customer ID],customers[Age],"")</f>
        <v>31</v>
      </c>
      <c r="F812" s="46" t="str" cm="1">
        <f t="array" ref="F812">_xlfn.XLOOKUP(C812,customers[Customer ID],customers[City],"")</f>
        <v>Cleveland</v>
      </c>
      <c r="G812">
        <v>18</v>
      </c>
      <c r="H812" s="47" t="s">
        <v>36</v>
      </c>
      <c r="I812" s="48">
        <v>45207</v>
      </c>
      <c r="J812">
        <v>96</v>
      </c>
      <c r="K812">
        <v>4.8</v>
      </c>
      <c r="L812">
        <f>IF(MONTH(calls[[#This Row],[Date of Call]])&lt;=6,YEAR(calls[[#This Row],[Date of Call]]),YEAR(calls[[#This Row],[Date of Call]])+1)</f>
        <v>2024</v>
      </c>
      <c r="M812" t="str">
        <f>TEXT(calls[[#This Row],[Date of Call]],"DDDD")</f>
        <v>Sunday</v>
      </c>
      <c r="N812" t="str" cm="1">
        <f t="array" ref="N812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812">
        <f>ROUND(calls[[#This Row],[Satisfaction Rating]],0)</f>
        <v>5</v>
      </c>
      <c r="P812" s="53">
        <f t="shared" si="12"/>
        <v>307</v>
      </c>
    </row>
    <row r="813" spans="2:16">
      <c r="B813" t="s">
        <v>893</v>
      </c>
      <c r="C813" t="s">
        <v>70</v>
      </c>
      <c r="D813" s="46" t="str" cm="1">
        <f t="array" ref="D813">_xlfn.XLOOKUP(C813,customers[Customer ID],customers[Gender],"")</f>
        <v>Male</v>
      </c>
      <c r="E813" s="46" cm="1">
        <f t="array" ref="E813">_xlfn.XLOOKUP(C813,customers[Customer ID],customers[Age],"")</f>
        <v>37</v>
      </c>
      <c r="F813" s="46" t="str" cm="1">
        <f t="array" ref="F813">_xlfn.XLOOKUP(C813,customers[Customer ID],customers[City],"")</f>
        <v>Columbus</v>
      </c>
      <c r="G813">
        <v>87</v>
      </c>
      <c r="H813" s="47" t="s">
        <v>36</v>
      </c>
      <c r="I813" s="48">
        <v>45207</v>
      </c>
      <c r="J813">
        <v>23</v>
      </c>
      <c r="K813">
        <v>4.2</v>
      </c>
      <c r="L813">
        <f>IF(MONTH(calls[[#This Row],[Date of Call]])&lt;=6,YEAR(calls[[#This Row],[Date of Call]]),YEAR(calls[[#This Row],[Date of Call]])+1)</f>
        <v>2024</v>
      </c>
      <c r="M813" t="str">
        <f>TEXT(calls[[#This Row],[Date of Call]],"DDDD")</f>
        <v>Sunday</v>
      </c>
      <c r="N813" t="str" cm="1">
        <f t="array" ref="N81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13">
        <f>ROUND(calls[[#This Row],[Satisfaction Rating]],0)</f>
        <v>4</v>
      </c>
      <c r="P813" s="53">
        <f t="shared" si="12"/>
        <v>307</v>
      </c>
    </row>
    <row r="814" spans="2:16">
      <c r="B814" t="s">
        <v>894</v>
      </c>
      <c r="C814" t="s">
        <v>67</v>
      </c>
      <c r="D814" s="46" t="str" cm="1">
        <f t="array" ref="D814">_xlfn.XLOOKUP(C814,customers[Customer ID],customers[Gender],"")</f>
        <v>Female</v>
      </c>
      <c r="E814" s="46" cm="1">
        <f t="array" ref="E814">_xlfn.XLOOKUP(C814,customers[Customer ID],customers[Age],"")</f>
        <v>37</v>
      </c>
      <c r="F814" s="46" t="str" cm="1">
        <f t="array" ref="F814">_xlfn.XLOOKUP(C814,customers[Customer ID],customers[City],"")</f>
        <v>Cleveland</v>
      </c>
      <c r="G814">
        <v>94</v>
      </c>
      <c r="H814" s="47" t="s">
        <v>38</v>
      </c>
      <c r="I814" s="48">
        <v>45208</v>
      </c>
      <c r="J814">
        <v>120</v>
      </c>
      <c r="K814">
        <v>3.4</v>
      </c>
      <c r="L814">
        <f>IF(MONTH(calls[[#This Row],[Date of Call]])&lt;=6,YEAR(calls[[#This Row],[Date of Call]]),YEAR(calls[[#This Row],[Date of Call]])+1)</f>
        <v>2024</v>
      </c>
      <c r="M814" t="str">
        <f>TEXT(calls[[#This Row],[Date of Call]],"DDDD")</f>
        <v>Monday</v>
      </c>
      <c r="N814" t="str" cm="1">
        <f t="array" ref="N8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14">
        <f>ROUND(calls[[#This Row],[Satisfaction Rating]],0)</f>
        <v>3</v>
      </c>
      <c r="P814" s="53">
        <f t="shared" si="12"/>
        <v>307</v>
      </c>
    </row>
    <row r="815" spans="2:16">
      <c r="B815" t="s">
        <v>895</v>
      </c>
      <c r="C815" t="s">
        <v>62</v>
      </c>
      <c r="D815" s="46" t="str" cm="1">
        <f t="array" ref="D815">_xlfn.XLOOKUP(C815,customers[Customer ID],customers[Gender],"")</f>
        <v>Female</v>
      </c>
      <c r="E815" s="46" cm="1">
        <f t="array" ref="E815">_xlfn.XLOOKUP(C815,customers[Customer ID],customers[Age],"")</f>
        <v>28</v>
      </c>
      <c r="F815" s="46" t="str" cm="1">
        <f t="array" ref="F815">_xlfn.XLOOKUP(C815,customers[Customer ID],customers[City],"")</f>
        <v>Cincinnati</v>
      </c>
      <c r="G815">
        <v>56</v>
      </c>
      <c r="H815" s="47" t="s">
        <v>38</v>
      </c>
      <c r="I815" s="48">
        <v>45208</v>
      </c>
      <c r="J815">
        <v>205</v>
      </c>
      <c r="K815">
        <v>3.3</v>
      </c>
      <c r="L815">
        <f>IF(MONTH(calls[[#This Row],[Date of Call]])&lt;=6,YEAR(calls[[#This Row],[Date of Call]]),YEAR(calls[[#This Row],[Date of Call]])+1)</f>
        <v>2024</v>
      </c>
      <c r="M815" t="str">
        <f>TEXT(calls[[#This Row],[Date of Call]],"DDDD")</f>
        <v>Monday</v>
      </c>
      <c r="N815" t="str" cm="1">
        <f t="array" ref="N81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15">
        <f>ROUND(calls[[#This Row],[Satisfaction Rating]],0)</f>
        <v>3</v>
      </c>
      <c r="P815" s="53">
        <f t="shared" si="12"/>
        <v>307</v>
      </c>
    </row>
    <row r="816" spans="2:16">
      <c r="B816" t="s">
        <v>896</v>
      </c>
      <c r="C816" t="s">
        <v>72</v>
      </c>
      <c r="D816" s="46" t="str" cm="1">
        <f t="array" ref="D816">_xlfn.XLOOKUP(C816,customers[Customer ID],customers[Gender],"")</f>
        <v>Female</v>
      </c>
      <c r="E816" s="46" cm="1">
        <f t="array" ref="E816">_xlfn.XLOOKUP(C816,customers[Customer ID],customers[Age],"")</f>
        <v>25</v>
      </c>
      <c r="F816" s="46" t="str" cm="1">
        <f t="array" ref="F816">_xlfn.XLOOKUP(C816,customers[Customer ID],customers[City],"")</f>
        <v>Columbus</v>
      </c>
      <c r="G816">
        <v>41</v>
      </c>
      <c r="H816" s="47" t="s">
        <v>37</v>
      </c>
      <c r="I816" s="48">
        <v>45209</v>
      </c>
      <c r="J816">
        <v>42</v>
      </c>
      <c r="K816">
        <v>3.8</v>
      </c>
      <c r="L816">
        <f>IF(MONTH(calls[[#This Row],[Date of Call]])&lt;=6,YEAR(calls[[#This Row],[Date of Call]]),YEAR(calls[[#This Row],[Date of Call]])+1)</f>
        <v>2024</v>
      </c>
      <c r="M816" t="str">
        <f>TEXT(calls[[#This Row],[Date of Call]],"DDDD")</f>
        <v>Tuesday</v>
      </c>
      <c r="N816" t="str" cm="1">
        <f t="array" ref="N81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16">
        <f>ROUND(calls[[#This Row],[Satisfaction Rating]],0)</f>
        <v>4</v>
      </c>
      <c r="P816" s="53">
        <f t="shared" si="12"/>
        <v>307</v>
      </c>
    </row>
    <row r="817" spans="2:16">
      <c r="B817" t="s">
        <v>897</v>
      </c>
      <c r="C817" t="s">
        <v>61</v>
      </c>
      <c r="D817" s="46" t="str" cm="1">
        <f t="array" ref="D817">_xlfn.XLOOKUP(C817,customers[Customer ID],customers[Gender],"")</f>
        <v>Female</v>
      </c>
      <c r="E817" s="46" cm="1">
        <f t="array" ref="E817">_xlfn.XLOOKUP(C817,customers[Customer ID],customers[Age],"")</f>
        <v>30</v>
      </c>
      <c r="F817" s="46" t="str" cm="1">
        <f t="array" ref="F817">_xlfn.XLOOKUP(C817,customers[Customer ID],customers[City],"")</f>
        <v>Cincinnati</v>
      </c>
      <c r="G817">
        <v>119</v>
      </c>
      <c r="H817" s="47" t="s">
        <v>39</v>
      </c>
      <c r="I817" s="48">
        <v>45209</v>
      </c>
      <c r="J817">
        <v>111</v>
      </c>
      <c r="K817">
        <v>3.9</v>
      </c>
      <c r="L817">
        <f>IF(MONTH(calls[[#This Row],[Date of Call]])&lt;=6,YEAR(calls[[#This Row],[Date of Call]]),YEAR(calls[[#This Row],[Date of Call]])+1)</f>
        <v>2024</v>
      </c>
      <c r="M817" t="str">
        <f>TEXT(calls[[#This Row],[Date of Call]],"DDDD")</f>
        <v>Tuesday</v>
      </c>
      <c r="N817" t="str" cm="1">
        <f t="array" ref="N81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17">
        <f>ROUND(calls[[#This Row],[Satisfaction Rating]],0)</f>
        <v>4</v>
      </c>
      <c r="P817" s="53">
        <f t="shared" si="12"/>
        <v>307</v>
      </c>
    </row>
    <row r="818" spans="2:16">
      <c r="B818" t="s">
        <v>898</v>
      </c>
      <c r="C818" t="s">
        <v>73</v>
      </c>
      <c r="D818" s="46" t="str" cm="1">
        <f t="array" ref="D818">_xlfn.XLOOKUP(C818,customers[Customer ID],customers[Gender],"")</f>
        <v>Female</v>
      </c>
      <c r="E818" s="46" cm="1">
        <f t="array" ref="E818">_xlfn.XLOOKUP(C818,customers[Customer ID],customers[Age],"")</f>
        <v>38</v>
      </c>
      <c r="F818" s="46" t="str" cm="1">
        <f t="array" ref="F818">_xlfn.XLOOKUP(C818,customers[Customer ID],customers[City],"")</f>
        <v>Columbus</v>
      </c>
      <c r="G818">
        <v>108</v>
      </c>
      <c r="H818" s="47" t="s">
        <v>38</v>
      </c>
      <c r="I818" s="48">
        <v>45209</v>
      </c>
      <c r="J818">
        <v>68</v>
      </c>
      <c r="K818">
        <v>2.5</v>
      </c>
      <c r="L818">
        <f>IF(MONTH(calls[[#This Row],[Date of Call]])&lt;=6,YEAR(calls[[#This Row],[Date of Call]]),YEAR(calls[[#This Row],[Date of Call]])+1)</f>
        <v>2024</v>
      </c>
      <c r="M818" t="str">
        <f>TEXT(calls[[#This Row],[Date of Call]],"DDDD")</f>
        <v>Tuesday</v>
      </c>
      <c r="N818" t="str" cm="1">
        <f t="array" ref="N81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18">
        <f>ROUND(calls[[#This Row],[Satisfaction Rating]],0)</f>
        <v>3</v>
      </c>
      <c r="P818" s="53">
        <f t="shared" si="12"/>
        <v>307</v>
      </c>
    </row>
    <row r="819" spans="2:16">
      <c r="B819" t="s">
        <v>899</v>
      </c>
      <c r="C819" t="s">
        <v>69</v>
      </c>
      <c r="D819" s="46" t="str" cm="1">
        <f t="array" ref="D819">_xlfn.XLOOKUP(C819,customers[Customer ID],customers[Gender],"")</f>
        <v>Male</v>
      </c>
      <c r="E819" s="46" cm="1">
        <f t="array" ref="E819">_xlfn.XLOOKUP(C819,customers[Customer ID],customers[Age],"")</f>
        <v>41</v>
      </c>
      <c r="F819" s="46" t="str" cm="1">
        <f t="array" ref="F819">_xlfn.XLOOKUP(C819,customers[Customer ID],customers[City],"")</f>
        <v>Columbus</v>
      </c>
      <c r="G819">
        <v>63</v>
      </c>
      <c r="H819" s="47" t="s">
        <v>40</v>
      </c>
      <c r="I819" s="48">
        <v>45209</v>
      </c>
      <c r="J819">
        <v>172</v>
      </c>
      <c r="K819">
        <v>4.9</v>
      </c>
      <c r="L819">
        <f>IF(MONTH(calls[[#This Row],[Date of Call]])&lt;=6,YEAR(calls[[#This Row],[Date of Call]]),YEAR(calls[[#This Row],[Date of Call]])+1)</f>
        <v>2024</v>
      </c>
      <c r="M819" t="str">
        <f>TEXT(calls[[#This Row],[Date of Call]],"DDDD")</f>
        <v>Tuesday</v>
      </c>
      <c r="N819" t="str" cm="1">
        <f t="array" ref="N8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19">
        <f>ROUND(calls[[#This Row],[Satisfaction Rating]],0)</f>
        <v>5</v>
      </c>
      <c r="P819" s="53">
        <f t="shared" si="12"/>
        <v>307</v>
      </c>
    </row>
    <row r="820" spans="2:16">
      <c r="B820" t="s">
        <v>900</v>
      </c>
      <c r="C820" t="s">
        <v>68</v>
      </c>
      <c r="D820" s="46" t="str" cm="1">
        <f t="array" ref="D820">_xlfn.XLOOKUP(C820,customers[Customer ID],customers[Gender],"")</f>
        <v>Female</v>
      </c>
      <c r="E820" s="46" cm="1">
        <f t="array" ref="E820">_xlfn.XLOOKUP(C820,customers[Customer ID],customers[Age],"")</f>
        <v>43</v>
      </c>
      <c r="F820" s="46" t="str" cm="1">
        <f t="array" ref="F820">_xlfn.XLOOKUP(C820,customers[Customer ID],customers[City],"")</f>
        <v>Cleveland</v>
      </c>
      <c r="G820">
        <v>59</v>
      </c>
      <c r="H820" s="47" t="s">
        <v>38</v>
      </c>
      <c r="I820" s="48">
        <v>45209</v>
      </c>
      <c r="J820">
        <v>152</v>
      </c>
      <c r="K820">
        <v>4.8</v>
      </c>
      <c r="L820">
        <f>IF(MONTH(calls[[#This Row],[Date of Call]])&lt;=6,YEAR(calls[[#This Row],[Date of Call]]),YEAR(calls[[#This Row],[Date of Call]])+1)</f>
        <v>2024</v>
      </c>
      <c r="M820" t="str">
        <f>TEXT(calls[[#This Row],[Date of Call]],"DDDD")</f>
        <v>Tuesday</v>
      </c>
      <c r="N820" t="str" cm="1">
        <f t="array" ref="N82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20">
        <f>ROUND(calls[[#This Row],[Satisfaction Rating]],0)</f>
        <v>5</v>
      </c>
      <c r="P820" s="53">
        <f t="shared" si="12"/>
        <v>307</v>
      </c>
    </row>
    <row r="821" spans="2:16">
      <c r="B821" t="s">
        <v>901</v>
      </c>
      <c r="C821" t="s">
        <v>68</v>
      </c>
      <c r="D821" s="46" t="str" cm="1">
        <f t="array" ref="D821">_xlfn.XLOOKUP(C821,customers[Customer ID],customers[Gender],"")</f>
        <v>Female</v>
      </c>
      <c r="E821" s="46" cm="1">
        <f t="array" ref="E821">_xlfn.XLOOKUP(C821,customers[Customer ID],customers[Age],"")</f>
        <v>43</v>
      </c>
      <c r="F821" s="46" t="str" cm="1">
        <f t="array" ref="F821">_xlfn.XLOOKUP(C821,customers[Customer ID],customers[City],"")</f>
        <v>Cleveland</v>
      </c>
      <c r="G821">
        <v>90</v>
      </c>
      <c r="H821" s="47" t="s">
        <v>37</v>
      </c>
      <c r="I821" s="48">
        <v>45209</v>
      </c>
      <c r="J821">
        <v>48</v>
      </c>
      <c r="K821">
        <v>4.7</v>
      </c>
      <c r="L821">
        <f>IF(MONTH(calls[[#This Row],[Date of Call]])&lt;=6,YEAR(calls[[#This Row],[Date of Call]]),YEAR(calls[[#This Row],[Date of Call]])+1)</f>
        <v>2024</v>
      </c>
      <c r="M821" t="str">
        <f>TEXT(calls[[#This Row],[Date of Call]],"DDDD")</f>
        <v>Tuesday</v>
      </c>
      <c r="N821" t="str" cm="1">
        <f t="array" ref="N8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21">
        <f>ROUND(calls[[#This Row],[Satisfaction Rating]],0)</f>
        <v>5</v>
      </c>
      <c r="P821" s="53">
        <f t="shared" si="12"/>
        <v>307</v>
      </c>
    </row>
    <row r="822" spans="2:16">
      <c r="B822" t="s">
        <v>902</v>
      </c>
      <c r="C822" t="s">
        <v>66</v>
      </c>
      <c r="D822" s="46" t="str" cm="1">
        <f t="array" ref="D822">_xlfn.XLOOKUP(C822,customers[Customer ID],customers[Gender],"")</f>
        <v>Female</v>
      </c>
      <c r="E822" s="46" cm="1">
        <f t="array" ref="E822">_xlfn.XLOOKUP(C822,customers[Customer ID],customers[Age],"")</f>
        <v>30</v>
      </c>
      <c r="F822" s="46" t="str" cm="1">
        <f t="array" ref="F822">_xlfn.XLOOKUP(C822,customers[Customer ID],customers[City],"")</f>
        <v>Cleveland</v>
      </c>
      <c r="G822">
        <v>55</v>
      </c>
      <c r="H822" s="47" t="s">
        <v>37</v>
      </c>
      <c r="I822" s="48">
        <v>45209</v>
      </c>
      <c r="J822">
        <v>25</v>
      </c>
      <c r="K822">
        <v>4.7</v>
      </c>
      <c r="L822">
        <f>IF(MONTH(calls[[#This Row],[Date of Call]])&lt;=6,YEAR(calls[[#This Row],[Date of Call]]),YEAR(calls[[#This Row],[Date of Call]])+1)</f>
        <v>2024</v>
      </c>
      <c r="M822" t="str">
        <f>TEXT(calls[[#This Row],[Date of Call]],"DDDD")</f>
        <v>Tuesday</v>
      </c>
      <c r="N822" t="str" cm="1">
        <f t="array" ref="N82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22">
        <f>ROUND(calls[[#This Row],[Satisfaction Rating]],0)</f>
        <v>5</v>
      </c>
      <c r="P822" s="53">
        <f t="shared" si="12"/>
        <v>307</v>
      </c>
    </row>
    <row r="823" spans="2:16">
      <c r="B823" t="s">
        <v>903</v>
      </c>
      <c r="C823" t="s">
        <v>73</v>
      </c>
      <c r="D823" s="46" t="str" cm="1">
        <f t="array" ref="D823">_xlfn.XLOOKUP(C823,customers[Customer ID],customers[Gender],"")</f>
        <v>Female</v>
      </c>
      <c r="E823" s="46" cm="1">
        <f t="array" ref="E823">_xlfn.XLOOKUP(C823,customers[Customer ID],customers[Age],"")</f>
        <v>38</v>
      </c>
      <c r="F823" s="46" t="str" cm="1">
        <f t="array" ref="F823">_xlfn.XLOOKUP(C823,customers[Customer ID],customers[City],"")</f>
        <v>Columbus</v>
      </c>
      <c r="G823">
        <v>84</v>
      </c>
      <c r="H823" s="47" t="s">
        <v>39</v>
      </c>
      <c r="I823" s="48">
        <v>45210</v>
      </c>
      <c r="J823">
        <v>54</v>
      </c>
      <c r="K823">
        <v>3.3</v>
      </c>
      <c r="L823">
        <f>IF(MONTH(calls[[#This Row],[Date of Call]])&lt;=6,YEAR(calls[[#This Row],[Date of Call]]),YEAR(calls[[#This Row],[Date of Call]])+1)</f>
        <v>2024</v>
      </c>
      <c r="M823" t="str">
        <f>TEXT(calls[[#This Row],[Date of Call]],"DDDD")</f>
        <v>Wednesday</v>
      </c>
      <c r="N823" t="str" cm="1">
        <f t="array" ref="N8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23">
        <f>ROUND(calls[[#This Row],[Satisfaction Rating]],0)</f>
        <v>3</v>
      </c>
      <c r="P823" s="53">
        <f t="shared" si="12"/>
        <v>307</v>
      </c>
    </row>
    <row r="824" spans="2:16">
      <c r="B824" t="s">
        <v>904</v>
      </c>
      <c r="C824" t="s">
        <v>73</v>
      </c>
      <c r="D824" s="46" t="str" cm="1">
        <f t="array" ref="D824">_xlfn.XLOOKUP(C824,customers[Customer ID],customers[Gender],"")</f>
        <v>Female</v>
      </c>
      <c r="E824" s="46" cm="1">
        <f t="array" ref="E824">_xlfn.XLOOKUP(C824,customers[Customer ID],customers[Age],"")</f>
        <v>38</v>
      </c>
      <c r="F824" s="46" t="str" cm="1">
        <f t="array" ref="F824">_xlfn.XLOOKUP(C824,customers[Customer ID],customers[City],"")</f>
        <v>Columbus</v>
      </c>
      <c r="G824">
        <v>150</v>
      </c>
      <c r="H824" s="47" t="s">
        <v>36</v>
      </c>
      <c r="I824" s="48">
        <v>45210</v>
      </c>
      <c r="J824">
        <v>108</v>
      </c>
      <c r="K824">
        <v>4.7</v>
      </c>
      <c r="L824">
        <f>IF(MONTH(calls[[#This Row],[Date of Call]])&lt;=6,YEAR(calls[[#This Row],[Date of Call]]),YEAR(calls[[#This Row],[Date of Call]])+1)</f>
        <v>2024</v>
      </c>
      <c r="M824" t="str">
        <f>TEXT(calls[[#This Row],[Date of Call]],"DDDD")</f>
        <v>Wednesday</v>
      </c>
      <c r="N824" t="str" cm="1">
        <f t="array" ref="N82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24">
        <f>ROUND(calls[[#This Row],[Satisfaction Rating]],0)</f>
        <v>5</v>
      </c>
      <c r="P824" s="53">
        <f t="shared" si="12"/>
        <v>307</v>
      </c>
    </row>
    <row r="825" spans="2:16">
      <c r="B825" t="s">
        <v>905</v>
      </c>
      <c r="C825" t="s">
        <v>65</v>
      </c>
      <c r="D825" s="46" t="str" cm="1">
        <f t="array" ref="D825">_xlfn.XLOOKUP(C825,customers[Customer ID],customers[Gender],"")</f>
        <v>Female</v>
      </c>
      <c r="E825" s="46" cm="1">
        <f t="array" ref="E825">_xlfn.XLOOKUP(C825,customers[Customer ID],customers[Age],"")</f>
        <v>42</v>
      </c>
      <c r="F825" s="46" t="str" cm="1">
        <f t="array" ref="F825">_xlfn.XLOOKUP(C825,customers[Customer ID],customers[City],"")</f>
        <v>Cleveland</v>
      </c>
      <c r="G825">
        <v>69</v>
      </c>
      <c r="H825" s="47" t="s">
        <v>38</v>
      </c>
      <c r="I825" s="48">
        <v>45210</v>
      </c>
      <c r="J825">
        <v>36</v>
      </c>
      <c r="K825">
        <v>4.5</v>
      </c>
      <c r="L825">
        <f>IF(MONTH(calls[[#This Row],[Date of Call]])&lt;=6,YEAR(calls[[#This Row],[Date of Call]]),YEAR(calls[[#This Row],[Date of Call]])+1)</f>
        <v>2024</v>
      </c>
      <c r="M825" t="str">
        <f>TEXT(calls[[#This Row],[Date of Call]],"DDDD")</f>
        <v>Wednesday</v>
      </c>
      <c r="N825" t="str" cm="1">
        <f t="array" ref="N82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25">
        <f>ROUND(calls[[#This Row],[Satisfaction Rating]],0)</f>
        <v>5</v>
      </c>
      <c r="P825" s="53">
        <f t="shared" si="12"/>
        <v>307</v>
      </c>
    </row>
    <row r="826" spans="2:16">
      <c r="B826" t="s">
        <v>906</v>
      </c>
      <c r="C826" t="s">
        <v>59</v>
      </c>
      <c r="D826" s="46" t="str" cm="1">
        <f t="array" ref="D826">_xlfn.XLOOKUP(C826,customers[Customer ID],customers[Gender],"")</f>
        <v>Male</v>
      </c>
      <c r="E826" s="46" cm="1">
        <f t="array" ref="E826">_xlfn.XLOOKUP(C826,customers[Customer ID],customers[Age],"")</f>
        <v>26</v>
      </c>
      <c r="F826" s="46" t="str" cm="1">
        <f t="array" ref="F826">_xlfn.XLOOKUP(C826,customers[Customer ID],customers[City],"")</f>
        <v>Cincinnati</v>
      </c>
      <c r="G826">
        <v>120</v>
      </c>
      <c r="H826" s="47" t="s">
        <v>37</v>
      </c>
      <c r="I826" s="48">
        <v>45211</v>
      </c>
      <c r="J826">
        <v>140</v>
      </c>
      <c r="K826">
        <v>4.6</v>
      </c>
      <c r="L826">
        <f>IF(MONTH(calls[[#This Row],[Date of Call]])&lt;=6,YEAR(calls[[#This Row],[Date of Call]]),YEAR(calls[[#This Row],[Date of Call]])+1)</f>
        <v>2024</v>
      </c>
      <c r="M826" t="str">
        <f>TEXT(calls[[#This Row],[Date of Call]],"DDDD")</f>
        <v>Thursday</v>
      </c>
      <c r="N826" t="str" cm="1">
        <f t="array" ref="N82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26">
        <f>ROUND(calls[[#This Row],[Satisfaction Rating]],0)</f>
        <v>5</v>
      </c>
      <c r="P826" s="53">
        <f t="shared" si="12"/>
        <v>307</v>
      </c>
    </row>
    <row r="827" spans="2:16">
      <c r="B827" t="s">
        <v>907</v>
      </c>
      <c r="C827" t="s">
        <v>70</v>
      </c>
      <c r="D827" s="46" t="str" cm="1">
        <f t="array" ref="D827">_xlfn.XLOOKUP(C827,customers[Customer ID],customers[Gender],"")</f>
        <v>Male</v>
      </c>
      <c r="E827" s="46" cm="1">
        <f t="array" ref="E827">_xlfn.XLOOKUP(C827,customers[Customer ID],customers[Age],"")</f>
        <v>37</v>
      </c>
      <c r="F827" s="46" t="str" cm="1">
        <f t="array" ref="F827">_xlfn.XLOOKUP(C827,customers[Customer ID],customers[City],"")</f>
        <v>Columbus</v>
      </c>
      <c r="G827">
        <v>126</v>
      </c>
      <c r="H827" s="47" t="s">
        <v>39</v>
      </c>
      <c r="I827" s="48">
        <v>45211</v>
      </c>
      <c r="J827">
        <v>50</v>
      </c>
      <c r="K827">
        <v>4.8</v>
      </c>
      <c r="L827">
        <f>IF(MONTH(calls[[#This Row],[Date of Call]])&lt;=6,YEAR(calls[[#This Row],[Date of Call]]),YEAR(calls[[#This Row],[Date of Call]])+1)</f>
        <v>2024</v>
      </c>
      <c r="M827" t="str">
        <f>TEXT(calls[[#This Row],[Date of Call]],"DDDD")</f>
        <v>Thursday</v>
      </c>
      <c r="N827" t="str" cm="1">
        <f t="array" ref="N82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27">
        <f>ROUND(calls[[#This Row],[Satisfaction Rating]],0)</f>
        <v>5</v>
      </c>
      <c r="P827" s="53">
        <f t="shared" si="12"/>
        <v>307</v>
      </c>
    </row>
    <row r="828" spans="2:16">
      <c r="B828" t="s">
        <v>908</v>
      </c>
      <c r="C828" t="s">
        <v>65</v>
      </c>
      <c r="D828" s="46" t="str" cm="1">
        <f t="array" ref="D828">_xlfn.XLOOKUP(C828,customers[Customer ID],customers[Gender],"")</f>
        <v>Female</v>
      </c>
      <c r="E828" s="46" cm="1">
        <f t="array" ref="E828">_xlfn.XLOOKUP(C828,customers[Customer ID],customers[Age],"")</f>
        <v>42</v>
      </c>
      <c r="F828" s="46" t="str" cm="1">
        <f t="array" ref="F828">_xlfn.XLOOKUP(C828,customers[Customer ID],customers[City],"")</f>
        <v>Cleveland</v>
      </c>
      <c r="G828">
        <v>120</v>
      </c>
      <c r="H828" s="47" t="s">
        <v>40</v>
      </c>
      <c r="I828" s="48">
        <v>45211</v>
      </c>
      <c r="J828">
        <v>195</v>
      </c>
      <c r="K828">
        <v>4.3</v>
      </c>
      <c r="L828">
        <f>IF(MONTH(calls[[#This Row],[Date of Call]])&lt;=6,YEAR(calls[[#This Row],[Date of Call]]),YEAR(calls[[#This Row],[Date of Call]])+1)</f>
        <v>2024</v>
      </c>
      <c r="M828" t="str">
        <f>TEXT(calls[[#This Row],[Date of Call]],"DDDD")</f>
        <v>Thursday</v>
      </c>
      <c r="N828" t="str" cm="1">
        <f t="array" ref="N8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28">
        <f>ROUND(calls[[#This Row],[Satisfaction Rating]],0)</f>
        <v>4</v>
      </c>
      <c r="P828" s="53">
        <f t="shared" si="12"/>
        <v>307</v>
      </c>
    </row>
    <row r="829" spans="2:16">
      <c r="B829" t="s">
        <v>909</v>
      </c>
      <c r="C829" t="s">
        <v>70</v>
      </c>
      <c r="D829" s="46" t="str" cm="1">
        <f t="array" ref="D829">_xlfn.XLOOKUP(C829,customers[Customer ID],customers[Gender],"")</f>
        <v>Male</v>
      </c>
      <c r="E829" s="46" cm="1">
        <f t="array" ref="E829">_xlfn.XLOOKUP(C829,customers[Customer ID],customers[Age],"")</f>
        <v>37</v>
      </c>
      <c r="F829" s="46" t="str" cm="1">
        <f t="array" ref="F829">_xlfn.XLOOKUP(C829,customers[Customer ID],customers[City],"")</f>
        <v>Columbus</v>
      </c>
      <c r="G829">
        <v>139</v>
      </c>
      <c r="H829" s="47" t="s">
        <v>37</v>
      </c>
      <c r="I829" s="48">
        <v>45212</v>
      </c>
      <c r="J829">
        <v>48</v>
      </c>
      <c r="K829">
        <v>4.7</v>
      </c>
      <c r="L829">
        <f>IF(MONTH(calls[[#This Row],[Date of Call]])&lt;=6,YEAR(calls[[#This Row],[Date of Call]]),YEAR(calls[[#This Row],[Date of Call]])+1)</f>
        <v>2024</v>
      </c>
      <c r="M829" t="str">
        <f>TEXT(calls[[#This Row],[Date of Call]],"DDDD")</f>
        <v>Friday</v>
      </c>
      <c r="N829" t="str" cm="1">
        <f t="array" ref="N82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29">
        <f>ROUND(calls[[#This Row],[Satisfaction Rating]],0)</f>
        <v>5</v>
      </c>
      <c r="P829" s="53">
        <f t="shared" si="12"/>
        <v>307</v>
      </c>
    </row>
    <row r="830" spans="2:16">
      <c r="B830" t="s">
        <v>910</v>
      </c>
      <c r="C830" t="s">
        <v>66</v>
      </c>
      <c r="D830" s="46" t="str" cm="1">
        <f t="array" ref="D830">_xlfn.XLOOKUP(C830,customers[Customer ID],customers[Gender],"")</f>
        <v>Female</v>
      </c>
      <c r="E830" s="46" cm="1">
        <f t="array" ref="E830">_xlfn.XLOOKUP(C830,customers[Customer ID],customers[Age],"")</f>
        <v>30</v>
      </c>
      <c r="F830" s="46" t="str" cm="1">
        <f t="array" ref="F830">_xlfn.XLOOKUP(C830,customers[Customer ID],customers[City],"")</f>
        <v>Cleveland</v>
      </c>
      <c r="G830">
        <v>124</v>
      </c>
      <c r="H830" s="47" t="s">
        <v>38</v>
      </c>
      <c r="I830" s="48">
        <v>45213</v>
      </c>
      <c r="J830">
        <v>29</v>
      </c>
      <c r="K830">
        <v>4.8</v>
      </c>
      <c r="L830">
        <f>IF(MONTH(calls[[#This Row],[Date of Call]])&lt;=6,YEAR(calls[[#This Row],[Date of Call]]),YEAR(calls[[#This Row],[Date of Call]])+1)</f>
        <v>2024</v>
      </c>
      <c r="M830" t="str">
        <f>TEXT(calls[[#This Row],[Date of Call]],"DDDD")</f>
        <v>Saturday</v>
      </c>
      <c r="N830" t="str" cm="1">
        <f t="array" ref="N83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30">
        <f>ROUND(calls[[#This Row],[Satisfaction Rating]],0)</f>
        <v>5</v>
      </c>
      <c r="P830" s="53">
        <f t="shared" si="12"/>
        <v>307</v>
      </c>
    </row>
    <row r="831" spans="2:16">
      <c r="B831" t="s">
        <v>911</v>
      </c>
      <c r="C831" t="s">
        <v>59</v>
      </c>
      <c r="D831" s="46" t="str" cm="1">
        <f t="array" ref="D831">_xlfn.XLOOKUP(C831,customers[Customer ID],customers[Gender],"")</f>
        <v>Male</v>
      </c>
      <c r="E831" s="46" cm="1">
        <f t="array" ref="E831">_xlfn.XLOOKUP(C831,customers[Customer ID],customers[Age],"")</f>
        <v>26</v>
      </c>
      <c r="F831" s="46" t="str" cm="1">
        <f t="array" ref="F831">_xlfn.XLOOKUP(C831,customers[Customer ID],customers[City],"")</f>
        <v>Cincinnati</v>
      </c>
      <c r="G831">
        <v>108</v>
      </c>
      <c r="H831" s="47" t="s">
        <v>40</v>
      </c>
      <c r="I831" s="48">
        <v>45213</v>
      </c>
      <c r="J831">
        <v>44</v>
      </c>
      <c r="K831">
        <v>4.7</v>
      </c>
      <c r="L831">
        <f>IF(MONTH(calls[[#This Row],[Date of Call]])&lt;=6,YEAR(calls[[#This Row],[Date of Call]]),YEAR(calls[[#This Row],[Date of Call]])+1)</f>
        <v>2024</v>
      </c>
      <c r="M831" t="str">
        <f>TEXT(calls[[#This Row],[Date of Call]],"DDDD")</f>
        <v>Saturday</v>
      </c>
      <c r="N831" t="str" cm="1">
        <f t="array" ref="N83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31">
        <f>ROUND(calls[[#This Row],[Satisfaction Rating]],0)</f>
        <v>5</v>
      </c>
      <c r="P831" s="53">
        <f t="shared" si="12"/>
        <v>307</v>
      </c>
    </row>
    <row r="832" spans="2:16">
      <c r="B832" t="s">
        <v>912</v>
      </c>
      <c r="C832" t="s">
        <v>60</v>
      </c>
      <c r="D832" s="46" t="str" cm="1">
        <f t="array" ref="D832">_xlfn.XLOOKUP(C832,customers[Customer ID],customers[Gender],"")</f>
        <v>Male</v>
      </c>
      <c r="E832" s="46" cm="1">
        <f t="array" ref="E832">_xlfn.XLOOKUP(C832,customers[Customer ID],customers[Age],"")</f>
        <v>36</v>
      </c>
      <c r="F832" s="46" t="str" cm="1">
        <f t="array" ref="F832">_xlfn.XLOOKUP(C832,customers[Customer ID],customers[City],"")</f>
        <v>Cincinnati</v>
      </c>
      <c r="G832">
        <v>132</v>
      </c>
      <c r="H832" s="47" t="s">
        <v>36</v>
      </c>
      <c r="I832" s="48">
        <v>45213</v>
      </c>
      <c r="J832">
        <v>140</v>
      </c>
      <c r="K832">
        <v>4.3</v>
      </c>
      <c r="L832">
        <f>IF(MONTH(calls[[#This Row],[Date of Call]])&lt;=6,YEAR(calls[[#This Row],[Date of Call]]),YEAR(calls[[#This Row],[Date of Call]])+1)</f>
        <v>2024</v>
      </c>
      <c r="M832" t="str">
        <f>TEXT(calls[[#This Row],[Date of Call]],"DDDD")</f>
        <v>Saturday</v>
      </c>
      <c r="N832" t="str" cm="1">
        <f t="array" ref="N83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32">
        <f>ROUND(calls[[#This Row],[Satisfaction Rating]],0)</f>
        <v>4</v>
      </c>
      <c r="P832" s="53">
        <f t="shared" si="12"/>
        <v>307</v>
      </c>
    </row>
    <row r="833" spans="2:16">
      <c r="B833" t="s">
        <v>913</v>
      </c>
      <c r="C833" t="s">
        <v>69</v>
      </c>
      <c r="D833" s="46" t="str" cm="1">
        <f t="array" ref="D833">_xlfn.XLOOKUP(C833,customers[Customer ID],customers[Gender],"")</f>
        <v>Male</v>
      </c>
      <c r="E833" s="46" cm="1">
        <f t="array" ref="E833">_xlfn.XLOOKUP(C833,customers[Customer ID],customers[Age],"")</f>
        <v>41</v>
      </c>
      <c r="F833" s="46" t="str" cm="1">
        <f t="array" ref="F833">_xlfn.XLOOKUP(C833,customers[Customer ID],customers[City],"")</f>
        <v>Columbus</v>
      </c>
      <c r="G833">
        <v>67</v>
      </c>
      <c r="H833" s="47" t="s">
        <v>36</v>
      </c>
      <c r="I833" s="48">
        <v>45213</v>
      </c>
      <c r="J833">
        <v>105</v>
      </c>
      <c r="K833">
        <v>3.8</v>
      </c>
      <c r="L833">
        <f>IF(MONTH(calls[[#This Row],[Date of Call]])&lt;=6,YEAR(calls[[#This Row],[Date of Call]]),YEAR(calls[[#This Row],[Date of Call]])+1)</f>
        <v>2024</v>
      </c>
      <c r="M833" t="str">
        <f>TEXT(calls[[#This Row],[Date of Call]],"DDDD")</f>
        <v>Saturday</v>
      </c>
      <c r="N833" t="str" cm="1">
        <f t="array" ref="N83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33">
        <f>ROUND(calls[[#This Row],[Satisfaction Rating]],0)</f>
        <v>4</v>
      </c>
      <c r="P833" s="53">
        <f t="shared" si="12"/>
        <v>307</v>
      </c>
    </row>
    <row r="834" spans="2:16">
      <c r="B834" t="s">
        <v>914</v>
      </c>
      <c r="C834" t="s">
        <v>64</v>
      </c>
      <c r="D834" s="46" t="str" cm="1">
        <f t="array" ref="D834">_xlfn.XLOOKUP(C834,customers[Customer ID],customers[Gender],"")</f>
        <v>Female</v>
      </c>
      <c r="E834" s="46" cm="1">
        <f t="array" ref="E834">_xlfn.XLOOKUP(C834,customers[Customer ID],customers[Age],"")</f>
        <v>22</v>
      </c>
      <c r="F834" s="46" t="str" cm="1">
        <f t="array" ref="F834">_xlfn.XLOOKUP(C834,customers[Customer ID],customers[City],"")</f>
        <v>Cleveland</v>
      </c>
      <c r="G834">
        <v>125</v>
      </c>
      <c r="H834" s="47" t="s">
        <v>36</v>
      </c>
      <c r="I834" s="48">
        <v>45213</v>
      </c>
      <c r="J834">
        <v>82</v>
      </c>
      <c r="K834">
        <v>4.6</v>
      </c>
      <c r="L834">
        <f>IF(MONTH(calls[[#This Row],[Date of Call]])&lt;=6,YEAR(calls[[#This Row],[Date of Call]]),YEAR(calls[[#This Row],[Date of Call]])+1)</f>
        <v>2024</v>
      </c>
      <c r="M834" t="str">
        <f>TEXT(calls[[#This Row],[Date of Call]],"DDDD")</f>
        <v>Saturday</v>
      </c>
      <c r="N834" t="str" cm="1">
        <f t="array" ref="N83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34">
        <f>ROUND(calls[[#This Row],[Satisfaction Rating]],0)</f>
        <v>5</v>
      </c>
      <c r="P834" s="53">
        <f t="shared" si="12"/>
        <v>307</v>
      </c>
    </row>
    <row r="835" spans="2:16">
      <c r="B835" t="s">
        <v>915</v>
      </c>
      <c r="C835" t="s">
        <v>59</v>
      </c>
      <c r="D835" s="46" t="str" cm="1">
        <f t="array" ref="D835">_xlfn.XLOOKUP(C835,customers[Customer ID],customers[Gender],"")</f>
        <v>Male</v>
      </c>
      <c r="E835" s="46" cm="1">
        <f t="array" ref="E835">_xlfn.XLOOKUP(C835,customers[Customer ID],customers[Age],"")</f>
        <v>26</v>
      </c>
      <c r="F835" s="46" t="str" cm="1">
        <f t="array" ref="F835">_xlfn.XLOOKUP(C835,customers[Customer ID],customers[City],"")</f>
        <v>Cincinnati</v>
      </c>
      <c r="G835">
        <v>23</v>
      </c>
      <c r="H835" s="47" t="s">
        <v>40</v>
      </c>
      <c r="I835" s="48">
        <v>45213</v>
      </c>
      <c r="J835">
        <v>24</v>
      </c>
      <c r="K835">
        <v>2.9</v>
      </c>
      <c r="L835">
        <f>IF(MONTH(calls[[#This Row],[Date of Call]])&lt;=6,YEAR(calls[[#This Row],[Date of Call]]),YEAR(calls[[#This Row],[Date of Call]])+1)</f>
        <v>2024</v>
      </c>
      <c r="M835" t="str">
        <f>TEXT(calls[[#This Row],[Date of Call]],"DDDD")</f>
        <v>Saturday</v>
      </c>
      <c r="N835" t="str" cm="1">
        <f t="array" ref="N83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835">
        <f>ROUND(calls[[#This Row],[Satisfaction Rating]],0)</f>
        <v>3</v>
      </c>
      <c r="P835" s="53">
        <f t="shared" si="12"/>
        <v>307</v>
      </c>
    </row>
    <row r="836" spans="2:16">
      <c r="B836" t="s">
        <v>916</v>
      </c>
      <c r="C836" t="s">
        <v>61</v>
      </c>
      <c r="D836" s="46" t="str" cm="1">
        <f t="array" ref="D836">_xlfn.XLOOKUP(C836,customers[Customer ID],customers[Gender],"")</f>
        <v>Female</v>
      </c>
      <c r="E836" s="46" cm="1">
        <f t="array" ref="E836">_xlfn.XLOOKUP(C836,customers[Customer ID],customers[Age],"")</f>
        <v>30</v>
      </c>
      <c r="F836" s="46" t="str" cm="1">
        <f t="array" ref="F836">_xlfn.XLOOKUP(C836,customers[Customer ID],customers[City],"")</f>
        <v>Cincinnati</v>
      </c>
      <c r="G836">
        <v>131</v>
      </c>
      <c r="H836" s="47" t="s">
        <v>38</v>
      </c>
      <c r="I836" s="48">
        <v>45214</v>
      </c>
      <c r="J836">
        <v>205</v>
      </c>
      <c r="K836">
        <v>4.8</v>
      </c>
      <c r="L836">
        <f>IF(MONTH(calls[[#This Row],[Date of Call]])&lt;=6,YEAR(calls[[#This Row],[Date of Call]]),YEAR(calls[[#This Row],[Date of Call]])+1)</f>
        <v>2024</v>
      </c>
      <c r="M836" t="str">
        <f>TEXT(calls[[#This Row],[Date of Call]],"DDDD")</f>
        <v>Sunday</v>
      </c>
      <c r="N836" t="str" cm="1">
        <f t="array" ref="N83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36">
        <f>ROUND(calls[[#This Row],[Satisfaction Rating]],0)</f>
        <v>5</v>
      </c>
      <c r="P836" s="53">
        <f t="shared" ref="P836:P899" si="13">COUNTIF(O:O,5)</f>
        <v>307</v>
      </c>
    </row>
    <row r="837" spans="2:16">
      <c r="B837" t="s">
        <v>917</v>
      </c>
      <c r="C837" t="s">
        <v>60</v>
      </c>
      <c r="D837" s="46" t="str" cm="1">
        <f t="array" ref="D837">_xlfn.XLOOKUP(C837,customers[Customer ID],customers[Gender],"")</f>
        <v>Male</v>
      </c>
      <c r="E837" s="46" cm="1">
        <f t="array" ref="E837">_xlfn.XLOOKUP(C837,customers[Customer ID],customers[Age],"")</f>
        <v>36</v>
      </c>
      <c r="F837" s="46" t="str" cm="1">
        <f t="array" ref="F837">_xlfn.XLOOKUP(C837,customers[Customer ID],customers[City],"")</f>
        <v>Cincinnati</v>
      </c>
      <c r="G837">
        <v>56</v>
      </c>
      <c r="H837" s="47" t="s">
        <v>37</v>
      </c>
      <c r="I837" s="48">
        <v>45214</v>
      </c>
      <c r="J837">
        <v>225</v>
      </c>
      <c r="K837">
        <v>4.9</v>
      </c>
      <c r="L837">
        <f>IF(MONTH(calls[[#This Row],[Date of Call]])&lt;=6,YEAR(calls[[#This Row],[Date of Call]]),YEAR(calls[[#This Row],[Date of Call]])+1)</f>
        <v>2024</v>
      </c>
      <c r="M837" t="str">
        <f>TEXT(calls[[#This Row],[Date of Call]],"DDDD")</f>
        <v>Sunday</v>
      </c>
      <c r="N837" t="str" cm="1">
        <f t="array" ref="N83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37">
        <f>ROUND(calls[[#This Row],[Satisfaction Rating]],0)</f>
        <v>5</v>
      </c>
      <c r="P837" s="53">
        <f t="shared" si="13"/>
        <v>307</v>
      </c>
    </row>
    <row r="838" spans="2:16">
      <c r="B838" t="s">
        <v>918</v>
      </c>
      <c r="C838" t="s">
        <v>61</v>
      </c>
      <c r="D838" s="46" t="str" cm="1">
        <f t="array" ref="D838">_xlfn.XLOOKUP(C838,customers[Customer ID],customers[Gender],"")</f>
        <v>Female</v>
      </c>
      <c r="E838" s="46" cm="1">
        <f t="array" ref="E838">_xlfn.XLOOKUP(C838,customers[Customer ID],customers[Age],"")</f>
        <v>30</v>
      </c>
      <c r="F838" s="46" t="str" cm="1">
        <f t="array" ref="F838">_xlfn.XLOOKUP(C838,customers[Customer ID],customers[City],"")</f>
        <v>Cincinnati</v>
      </c>
      <c r="G838">
        <v>70</v>
      </c>
      <c r="H838" s="47" t="s">
        <v>38</v>
      </c>
      <c r="I838" s="48">
        <v>45214</v>
      </c>
      <c r="J838">
        <v>50</v>
      </c>
      <c r="K838">
        <v>3.4</v>
      </c>
      <c r="L838">
        <f>IF(MONTH(calls[[#This Row],[Date of Call]])&lt;=6,YEAR(calls[[#This Row],[Date of Call]]),YEAR(calls[[#This Row],[Date of Call]])+1)</f>
        <v>2024</v>
      </c>
      <c r="M838" t="str">
        <f>TEXT(calls[[#This Row],[Date of Call]],"DDDD")</f>
        <v>Sunday</v>
      </c>
      <c r="N838" t="str" cm="1">
        <f t="array" ref="N8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38">
        <f>ROUND(calls[[#This Row],[Satisfaction Rating]],0)</f>
        <v>3</v>
      </c>
      <c r="P838" s="53">
        <f t="shared" si="13"/>
        <v>307</v>
      </c>
    </row>
    <row r="839" spans="2:16">
      <c r="B839" t="s">
        <v>919</v>
      </c>
      <c r="C839" t="s">
        <v>61</v>
      </c>
      <c r="D839" s="46" t="str" cm="1">
        <f t="array" ref="D839">_xlfn.XLOOKUP(C839,customers[Customer ID],customers[Gender],"")</f>
        <v>Female</v>
      </c>
      <c r="E839" s="46" cm="1">
        <f t="array" ref="E839">_xlfn.XLOOKUP(C839,customers[Customer ID],customers[Age],"")</f>
        <v>30</v>
      </c>
      <c r="F839" s="46" t="str" cm="1">
        <f t="array" ref="F839">_xlfn.XLOOKUP(C839,customers[Customer ID],customers[City],"")</f>
        <v>Cincinnati</v>
      </c>
      <c r="G839">
        <v>55</v>
      </c>
      <c r="H839" s="47" t="s">
        <v>36</v>
      </c>
      <c r="I839" s="48">
        <v>45214</v>
      </c>
      <c r="J839">
        <v>80</v>
      </c>
      <c r="K839">
        <v>4.3</v>
      </c>
      <c r="L839">
        <f>IF(MONTH(calls[[#This Row],[Date of Call]])&lt;=6,YEAR(calls[[#This Row],[Date of Call]]),YEAR(calls[[#This Row],[Date of Call]])+1)</f>
        <v>2024</v>
      </c>
      <c r="M839" t="str">
        <f>TEXT(calls[[#This Row],[Date of Call]],"DDDD")</f>
        <v>Sunday</v>
      </c>
      <c r="N839" t="str" cm="1">
        <f t="array" ref="N83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39">
        <f>ROUND(calls[[#This Row],[Satisfaction Rating]],0)</f>
        <v>4</v>
      </c>
      <c r="P839" s="53">
        <f t="shared" si="13"/>
        <v>307</v>
      </c>
    </row>
    <row r="840" spans="2:16">
      <c r="B840" t="s">
        <v>920</v>
      </c>
      <c r="C840" t="s">
        <v>64</v>
      </c>
      <c r="D840" s="46" t="str" cm="1">
        <f t="array" ref="D840">_xlfn.XLOOKUP(C840,customers[Customer ID],customers[Gender],"")</f>
        <v>Female</v>
      </c>
      <c r="E840" s="46" cm="1">
        <f t="array" ref="E840">_xlfn.XLOOKUP(C840,customers[Customer ID],customers[Age],"")</f>
        <v>22</v>
      </c>
      <c r="F840" s="46" t="str" cm="1">
        <f t="array" ref="F840">_xlfn.XLOOKUP(C840,customers[Customer ID],customers[City],"")</f>
        <v>Cleveland</v>
      </c>
      <c r="G840">
        <v>77</v>
      </c>
      <c r="H840" s="47" t="s">
        <v>37</v>
      </c>
      <c r="I840" s="48">
        <v>45214</v>
      </c>
      <c r="J840">
        <v>78</v>
      </c>
      <c r="K840">
        <v>3.9</v>
      </c>
      <c r="L840">
        <f>IF(MONTH(calls[[#This Row],[Date of Call]])&lt;=6,YEAR(calls[[#This Row],[Date of Call]]),YEAR(calls[[#This Row],[Date of Call]])+1)</f>
        <v>2024</v>
      </c>
      <c r="M840" t="str">
        <f>TEXT(calls[[#This Row],[Date of Call]],"DDDD")</f>
        <v>Sunday</v>
      </c>
      <c r="N840" t="str" cm="1">
        <f t="array" ref="N8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40">
        <f>ROUND(calls[[#This Row],[Satisfaction Rating]],0)</f>
        <v>4</v>
      </c>
      <c r="P840" s="53">
        <f t="shared" si="13"/>
        <v>307</v>
      </c>
    </row>
    <row r="841" spans="2:16">
      <c r="B841" t="s">
        <v>921</v>
      </c>
      <c r="C841" t="s">
        <v>73</v>
      </c>
      <c r="D841" s="46" t="str" cm="1">
        <f t="array" ref="D841">_xlfn.XLOOKUP(C841,customers[Customer ID],customers[Gender],"")</f>
        <v>Female</v>
      </c>
      <c r="E841" s="46" cm="1">
        <f t="array" ref="E841">_xlfn.XLOOKUP(C841,customers[Customer ID],customers[Age],"")</f>
        <v>38</v>
      </c>
      <c r="F841" s="46" t="str" cm="1">
        <f t="array" ref="F841">_xlfn.XLOOKUP(C841,customers[Customer ID],customers[City],"")</f>
        <v>Columbus</v>
      </c>
      <c r="G841">
        <v>133</v>
      </c>
      <c r="H841" s="47" t="s">
        <v>38</v>
      </c>
      <c r="I841" s="48">
        <v>45215</v>
      </c>
      <c r="J841">
        <v>40</v>
      </c>
      <c r="K841">
        <v>3.9</v>
      </c>
      <c r="L841">
        <f>IF(MONTH(calls[[#This Row],[Date of Call]])&lt;=6,YEAR(calls[[#This Row],[Date of Call]]),YEAR(calls[[#This Row],[Date of Call]])+1)</f>
        <v>2024</v>
      </c>
      <c r="M841" t="str">
        <f>TEXT(calls[[#This Row],[Date of Call]],"DDDD")</f>
        <v>Monday</v>
      </c>
      <c r="N841" t="str" cm="1">
        <f t="array" ref="N84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41">
        <f>ROUND(calls[[#This Row],[Satisfaction Rating]],0)</f>
        <v>4</v>
      </c>
      <c r="P841" s="53">
        <f t="shared" si="13"/>
        <v>307</v>
      </c>
    </row>
    <row r="842" spans="2:16">
      <c r="B842" t="s">
        <v>922</v>
      </c>
      <c r="C842" t="s">
        <v>64</v>
      </c>
      <c r="D842" s="46" t="str" cm="1">
        <f t="array" ref="D842">_xlfn.XLOOKUP(C842,customers[Customer ID],customers[Gender],"")</f>
        <v>Female</v>
      </c>
      <c r="E842" s="46" cm="1">
        <f t="array" ref="E842">_xlfn.XLOOKUP(C842,customers[Customer ID],customers[Age],"")</f>
        <v>22</v>
      </c>
      <c r="F842" s="46" t="str" cm="1">
        <f t="array" ref="F842">_xlfn.XLOOKUP(C842,customers[Customer ID],customers[City],"")</f>
        <v>Cleveland</v>
      </c>
      <c r="G842">
        <v>77</v>
      </c>
      <c r="H842" s="47" t="s">
        <v>37</v>
      </c>
      <c r="I842" s="48">
        <v>45215</v>
      </c>
      <c r="J842">
        <v>176</v>
      </c>
      <c r="K842">
        <v>1.5</v>
      </c>
      <c r="L842">
        <f>IF(MONTH(calls[[#This Row],[Date of Call]])&lt;=6,YEAR(calls[[#This Row],[Date of Call]]),YEAR(calls[[#This Row],[Date of Call]])+1)</f>
        <v>2024</v>
      </c>
      <c r="M842" t="str">
        <f>TEXT(calls[[#This Row],[Date of Call]],"DDDD")</f>
        <v>Monday</v>
      </c>
      <c r="N842" t="str" cm="1">
        <f t="array" ref="N8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42">
        <f>ROUND(calls[[#This Row],[Satisfaction Rating]],0)</f>
        <v>2</v>
      </c>
      <c r="P842" s="53">
        <f t="shared" si="13"/>
        <v>307</v>
      </c>
    </row>
    <row r="843" spans="2:16">
      <c r="B843" t="s">
        <v>923</v>
      </c>
      <c r="C843" t="s">
        <v>68</v>
      </c>
      <c r="D843" s="46" t="str" cm="1">
        <f t="array" ref="D843">_xlfn.XLOOKUP(C843,customers[Customer ID],customers[Gender],"")</f>
        <v>Female</v>
      </c>
      <c r="E843" s="46" cm="1">
        <f t="array" ref="E843">_xlfn.XLOOKUP(C843,customers[Customer ID],customers[Age],"")</f>
        <v>43</v>
      </c>
      <c r="F843" s="46" t="str" cm="1">
        <f t="array" ref="F843">_xlfn.XLOOKUP(C843,customers[Customer ID],customers[City],"")</f>
        <v>Cleveland</v>
      </c>
      <c r="G843">
        <v>103</v>
      </c>
      <c r="H843" s="47" t="s">
        <v>38</v>
      </c>
      <c r="I843" s="48">
        <v>45215</v>
      </c>
      <c r="J843">
        <v>78</v>
      </c>
      <c r="K843">
        <v>3</v>
      </c>
      <c r="L843">
        <f>IF(MONTH(calls[[#This Row],[Date of Call]])&lt;=6,YEAR(calls[[#This Row],[Date of Call]]),YEAR(calls[[#This Row],[Date of Call]])+1)</f>
        <v>2024</v>
      </c>
      <c r="M843" t="str">
        <f>TEXT(calls[[#This Row],[Date of Call]],"DDDD")</f>
        <v>Monday</v>
      </c>
      <c r="N843" t="str" cm="1">
        <f t="array" ref="N8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43">
        <f>ROUND(calls[[#This Row],[Satisfaction Rating]],0)</f>
        <v>3</v>
      </c>
      <c r="P843" s="53">
        <f t="shared" si="13"/>
        <v>307</v>
      </c>
    </row>
    <row r="844" spans="2:16">
      <c r="B844" t="s">
        <v>924</v>
      </c>
      <c r="C844" t="s">
        <v>65</v>
      </c>
      <c r="D844" s="46" t="str" cm="1">
        <f t="array" ref="D844">_xlfn.XLOOKUP(C844,customers[Customer ID],customers[Gender],"")</f>
        <v>Female</v>
      </c>
      <c r="E844" s="46" cm="1">
        <f t="array" ref="E844">_xlfn.XLOOKUP(C844,customers[Customer ID],customers[Age],"")</f>
        <v>42</v>
      </c>
      <c r="F844" s="46" t="str" cm="1">
        <f t="array" ref="F844">_xlfn.XLOOKUP(C844,customers[Customer ID],customers[City],"")</f>
        <v>Cleveland</v>
      </c>
      <c r="G844">
        <v>32</v>
      </c>
      <c r="H844" s="47" t="s">
        <v>37</v>
      </c>
      <c r="I844" s="48">
        <v>45215</v>
      </c>
      <c r="J844">
        <v>42</v>
      </c>
      <c r="K844">
        <v>4.2</v>
      </c>
      <c r="L844">
        <f>IF(MONTH(calls[[#This Row],[Date of Call]])&lt;=6,YEAR(calls[[#This Row],[Date of Call]]),YEAR(calls[[#This Row],[Date of Call]])+1)</f>
        <v>2024</v>
      </c>
      <c r="M844" t="str">
        <f>TEXT(calls[[#This Row],[Date of Call]],"DDDD")</f>
        <v>Monday</v>
      </c>
      <c r="N844" t="str" cm="1">
        <f t="array" ref="N84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44">
        <f>ROUND(calls[[#This Row],[Satisfaction Rating]],0)</f>
        <v>4</v>
      </c>
      <c r="P844" s="53">
        <f t="shared" si="13"/>
        <v>307</v>
      </c>
    </row>
    <row r="845" spans="2:16">
      <c r="B845" t="s">
        <v>925</v>
      </c>
      <c r="C845" t="s">
        <v>73</v>
      </c>
      <c r="D845" s="46" t="str" cm="1">
        <f t="array" ref="D845">_xlfn.XLOOKUP(C845,customers[Customer ID],customers[Gender],"")</f>
        <v>Female</v>
      </c>
      <c r="E845" s="46" cm="1">
        <f t="array" ref="E845">_xlfn.XLOOKUP(C845,customers[Customer ID],customers[Age],"")</f>
        <v>38</v>
      </c>
      <c r="F845" s="46" t="str" cm="1">
        <f t="array" ref="F845">_xlfn.XLOOKUP(C845,customers[Customer ID],customers[City],"")</f>
        <v>Columbus</v>
      </c>
      <c r="G845">
        <v>30</v>
      </c>
      <c r="H845" s="47" t="s">
        <v>38</v>
      </c>
      <c r="I845" s="48">
        <v>45215</v>
      </c>
      <c r="J845">
        <v>38</v>
      </c>
      <c r="K845">
        <v>3.7</v>
      </c>
      <c r="L845">
        <f>IF(MONTH(calls[[#This Row],[Date of Call]])&lt;=6,YEAR(calls[[#This Row],[Date of Call]]),YEAR(calls[[#This Row],[Date of Call]])+1)</f>
        <v>2024</v>
      </c>
      <c r="M845" t="str">
        <f>TEXT(calls[[#This Row],[Date of Call]],"DDDD")</f>
        <v>Monday</v>
      </c>
      <c r="N845" t="str" cm="1">
        <f t="array" ref="N84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845">
        <f>ROUND(calls[[#This Row],[Satisfaction Rating]],0)</f>
        <v>4</v>
      </c>
      <c r="P845" s="53">
        <f t="shared" si="13"/>
        <v>307</v>
      </c>
    </row>
    <row r="846" spans="2:16">
      <c r="B846" t="s">
        <v>926</v>
      </c>
      <c r="C846" t="s">
        <v>70</v>
      </c>
      <c r="D846" s="46" t="str" cm="1">
        <f t="array" ref="D846">_xlfn.XLOOKUP(C846,customers[Customer ID],customers[Gender],"")</f>
        <v>Male</v>
      </c>
      <c r="E846" s="46" cm="1">
        <f t="array" ref="E846">_xlfn.XLOOKUP(C846,customers[Customer ID],customers[Age],"")</f>
        <v>37</v>
      </c>
      <c r="F846" s="46" t="str" cm="1">
        <f t="array" ref="F846">_xlfn.XLOOKUP(C846,customers[Customer ID],customers[City],"")</f>
        <v>Columbus</v>
      </c>
      <c r="G846">
        <v>87</v>
      </c>
      <c r="H846" s="47" t="s">
        <v>39</v>
      </c>
      <c r="I846" s="48">
        <v>45215</v>
      </c>
      <c r="J846">
        <v>27</v>
      </c>
      <c r="K846">
        <v>4.2</v>
      </c>
      <c r="L846">
        <f>IF(MONTH(calls[[#This Row],[Date of Call]])&lt;=6,YEAR(calls[[#This Row],[Date of Call]]),YEAR(calls[[#This Row],[Date of Call]])+1)</f>
        <v>2024</v>
      </c>
      <c r="M846" t="str">
        <f>TEXT(calls[[#This Row],[Date of Call]],"DDDD")</f>
        <v>Monday</v>
      </c>
      <c r="N846" t="str" cm="1">
        <f t="array" ref="N84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46">
        <f>ROUND(calls[[#This Row],[Satisfaction Rating]],0)</f>
        <v>4</v>
      </c>
      <c r="P846" s="53">
        <f t="shared" si="13"/>
        <v>307</v>
      </c>
    </row>
    <row r="847" spans="2:16">
      <c r="B847" t="s">
        <v>927</v>
      </c>
      <c r="C847" t="s">
        <v>64</v>
      </c>
      <c r="D847" s="46" t="str" cm="1">
        <f t="array" ref="D847">_xlfn.XLOOKUP(C847,customers[Customer ID],customers[Gender],"")</f>
        <v>Female</v>
      </c>
      <c r="E847" s="46" cm="1">
        <f t="array" ref="E847">_xlfn.XLOOKUP(C847,customers[Customer ID],customers[Age],"")</f>
        <v>22</v>
      </c>
      <c r="F847" s="46" t="str" cm="1">
        <f t="array" ref="F847">_xlfn.XLOOKUP(C847,customers[Customer ID],customers[City],"")</f>
        <v>Cleveland</v>
      </c>
      <c r="G847">
        <v>137</v>
      </c>
      <c r="H847" s="47" t="s">
        <v>40</v>
      </c>
      <c r="I847" s="48">
        <v>45216</v>
      </c>
      <c r="J847">
        <v>45</v>
      </c>
      <c r="K847">
        <v>4.4</v>
      </c>
      <c r="L847">
        <f>IF(MONTH(calls[[#This Row],[Date of Call]])&lt;=6,YEAR(calls[[#This Row],[Date of Call]]),YEAR(calls[[#This Row],[Date of Call]])+1)</f>
        <v>2024</v>
      </c>
      <c r="M847" t="str">
        <f>TEXT(calls[[#This Row],[Date of Call]],"DDDD")</f>
        <v>Tuesday</v>
      </c>
      <c r="N847" t="str" cm="1">
        <f t="array" ref="N84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47">
        <f>ROUND(calls[[#This Row],[Satisfaction Rating]],0)</f>
        <v>4</v>
      </c>
      <c r="P847" s="53">
        <f t="shared" si="13"/>
        <v>307</v>
      </c>
    </row>
    <row r="848" spans="2:16">
      <c r="B848" t="s">
        <v>928</v>
      </c>
      <c r="C848" t="s">
        <v>67</v>
      </c>
      <c r="D848" s="46" t="str" cm="1">
        <f t="array" ref="D848">_xlfn.XLOOKUP(C848,customers[Customer ID],customers[Gender],"")</f>
        <v>Female</v>
      </c>
      <c r="E848" s="46" cm="1">
        <f t="array" ref="E848">_xlfn.XLOOKUP(C848,customers[Customer ID],customers[Age],"")</f>
        <v>37</v>
      </c>
      <c r="F848" s="46" t="str" cm="1">
        <f t="array" ref="F848">_xlfn.XLOOKUP(C848,customers[Customer ID],customers[City],"")</f>
        <v>Cleveland</v>
      </c>
      <c r="G848">
        <v>96</v>
      </c>
      <c r="H848" s="47" t="s">
        <v>38</v>
      </c>
      <c r="I848" s="48">
        <v>45216</v>
      </c>
      <c r="J848">
        <v>215</v>
      </c>
      <c r="K848">
        <v>4</v>
      </c>
      <c r="L848">
        <f>IF(MONTH(calls[[#This Row],[Date of Call]])&lt;=6,YEAR(calls[[#This Row],[Date of Call]]),YEAR(calls[[#This Row],[Date of Call]])+1)</f>
        <v>2024</v>
      </c>
      <c r="M848" t="str">
        <f>TEXT(calls[[#This Row],[Date of Call]],"DDDD")</f>
        <v>Tuesday</v>
      </c>
      <c r="N848" t="str" cm="1">
        <f t="array" ref="N84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48">
        <f>ROUND(calls[[#This Row],[Satisfaction Rating]],0)</f>
        <v>4</v>
      </c>
      <c r="P848" s="53">
        <f t="shared" si="13"/>
        <v>307</v>
      </c>
    </row>
    <row r="849" spans="2:16">
      <c r="B849" t="s">
        <v>929</v>
      </c>
      <c r="C849" t="s">
        <v>66</v>
      </c>
      <c r="D849" s="46" t="str" cm="1">
        <f t="array" ref="D849">_xlfn.XLOOKUP(C849,customers[Customer ID],customers[Gender],"")</f>
        <v>Female</v>
      </c>
      <c r="E849" s="46" cm="1">
        <f t="array" ref="E849">_xlfn.XLOOKUP(C849,customers[Customer ID],customers[Age],"")</f>
        <v>30</v>
      </c>
      <c r="F849" s="46" t="str" cm="1">
        <f t="array" ref="F849">_xlfn.XLOOKUP(C849,customers[Customer ID],customers[City],"")</f>
        <v>Cleveland</v>
      </c>
      <c r="G849">
        <v>155</v>
      </c>
      <c r="H849" s="47" t="s">
        <v>38</v>
      </c>
      <c r="I849" s="48">
        <v>45217</v>
      </c>
      <c r="J849">
        <v>72</v>
      </c>
      <c r="K849">
        <v>4.7</v>
      </c>
      <c r="L849">
        <f>IF(MONTH(calls[[#This Row],[Date of Call]])&lt;=6,YEAR(calls[[#This Row],[Date of Call]]),YEAR(calls[[#This Row],[Date of Call]])+1)</f>
        <v>2024</v>
      </c>
      <c r="M849" t="str">
        <f>TEXT(calls[[#This Row],[Date of Call]],"DDDD")</f>
        <v>Wednesday</v>
      </c>
      <c r="N849" t="str" cm="1">
        <f t="array" ref="N84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49">
        <f>ROUND(calls[[#This Row],[Satisfaction Rating]],0)</f>
        <v>5</v>
      </c>
      <c r="P849" s="53">
        <f t="shared" si="13"/>
        <v>307</v>
      </c>
    </row>
    <row r="850" spans="2:16">
      <c r="B850" t="s">
        <v>930</v>
      </c>
      <c r="C850" t="s">
        <v>73</v>
      </c>
      <c r="D850" s="46" t="str" cm="1">
        <f t="array" ref="D850">_xlfn.XLOOKUP(C850,customers[Customer ID],customers[Gender],"")</f>
        <v>Female</v>
      </c>
      <c r="E850" s="46" cm="1">
        <f t="array" ref="E850">_xlfn.XLOOKUP(C850,customers[Customer ID],customers[Age],"")</f>
        <v>38</v>
      </c>
      <c r="F850" s="46" t="str" cm="1">
        <f t="array" ref="F850">_xlfn.XLOOKUP(C850,customers[Customer ID],customers[City],"")</f>
        <v>Columbus</v>
      </c>
      <c r="G850">
        <v>173</v>
      </c>
      <c r="H850" s="47" t="s">
        <v>36</v>
      </c>
      <c r="I850" s="48">
        <v>45217</v>
      </c>
      <c r="J850">
        <v>160</v>
      </c>
      <c r="K850">
        <v>2.8</v>
      </c>
      <c r="L850">
        <f>IF(MONTH(calls[[#This Row],[Date of Call]])&lt;=6,YEAR(calls[[#This Row],[Date of Call]]),YEAR(calls[[#This Row],[Date of Call]])+1)</f>
        <v>2024</v>
      </c>
      <c r="M850" t="str">
        <f>TEXT(calls[[#This Row],[Date of Call]],"DDDD")</f>
        <v>Wednesday</v>
      </c>
      <c r="N850" t="str" cm="1">
        <f t="array" ref="N85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50">
        <f>ROUND(calls[[#This Row],[Satisfaction Rating]],0)</f>
        <v>3</v>
      </c>
      <c r="P850" s="53">
        <f t="shared" si="13"/>
        <v>307</v>
      </c>
    </row>
    <row r="851" spans="2:16">
      <c r="B851" t="s">
        <v>931</v>
      </c>
      <c r="C851" t="s">
        <v>66</v>
      </c>
      <c r="D851" s="46" t="str" cm="1">
        <f t="array" ref="D851">_xlfn.XLOOKUP(C851,customers[Customer ID],customers[Gender],"")</f>
        <v>Female</v>
      </c>
      <c r="E851" s="46" cm="1">
        <f t="array" ref="E851">_xlfn.XLOOKUP(C851,customers[Customer ID],customers[Age],"")</f>
        <v>30</v>
      </c>
      <c r="F851" s="46" t="str" cm="1">
        <f t="array" ref="F851">_xlfn.XLOOKUP(C851,customers[Customer ID],customers[City],"")</f>
        <v>Cleveland</v>
      </c>
      <c r="G851">
        <v>127</v>
      </c>
      <c r="H851" s="47" t="s">
        <v>38</v>
      </c>
      <c r="I851" s="48">
        <v>45217</v>
      </c>
      <c r="J851">
        <v>165</v>
      </c>
      <c r="K851">
        <v>2.5</v>
      </c>
      <c r="L851">
        <f>IF(MONTH(calls[[#This Row],[Date of Call]])&lt;=6,YEAR(calls[[#This Row],[Date of Call]]),YEAR(calls[[#This Row],[Date of Call]])+1)</f>
        <v>2024</v>
      </c>
      <c r="M851" t="str">
        <f>TEXT(calls[[#This Row],[Date of Call]],"DDDD")</f>
        <v>Wednesday</v>
      </c>
      <c r="N851" t="str" cm="1">
        <f t="array" ref="N85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51">
        <f>ROUND(calls[[#This Row],[Satisfaction Rating]],0)</f>
        <v>3</v>
      </c>
      <c r="P851" s="53">
        <f t="shared" si="13"/>
        <v>307</v>
      </c>
    </row>
    <row r="852" spans="2:16">
      <c r="B852" t="s">
        <v>932</v>
      </c>
      <c r="C852" t="s">
        <v>60</v>
      </c>
      <c r="D852" s="46" t="str" cm="1">
        <f t="array" ref="D852">_xlfn.XLOOKUP(C852,customers[Customer ID],customers[Gender],"")</f>
        <v>Male</v>
      </c>
      <c r="E852" s="46" cm="1">
        <f t="array" ref="E852">_xlfn.XLOOKUP(C852,customers[Customer ID],customers[Age],"")</f>
        <v>36</v>
      </c>
      <c r="F852" s="46" t="str" cm="1">
        <f t="array" ref="F852">_xlfn.XLOOKUP(C852,customers[Customer ID],customers[City],"")</f>
        <v>Cincinnati</v>
      </c>
      <c r="G852">
        <v>117</v>
      </c>
      <c r="H852" s="47" t="s">
        <v>36</v>
      </c>
      <c r="I852" s="48">
        <v>45217</v>
      </c>
      <c r="J852">
        <v>120</v>
      </c>
      <c r="K852">
        <v>3.4</v>
      </c>
      <c r="L852">
        <f>IF(MONTH(calls[[#This Row],[Date of Call]])&lt;=6,YEAR(calls[[#This Row],[Date of Call]]),YEAR(calls[[#This Row],[Date of Call]])+1)</f>
        <v>2024</v>
      </c>
      <c r="M852" t="str">
        <f>TEXT(calls[[#This Row],[Date of Call]],"DDDD")</f>
        <v>Wednesday</v>
      </c>
      <c r="N852" t="str" cm="1">
        <f t="array" ref="N85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52">
        <f>ROUND(calls[[#This Row],[Satisfaction Rating]],0)</f>
        <v>3</v>
      </c>
      <c r="P852" s="53">
        <f t="shared" si="13"/>
        <v>307</v>
      </c>
    </row>
    <row r="853" spans="2:16">
      <c r="B853" t="s">
        <v>933</v>
      </c>
      <c r="C853" t="s">
        <v>59</v>
      </c>
      <c r="D853" s="46" t="str" cm="1">
        <f t="array" ref="D853">_xlfn.XLOOKUP(C853,customers[Customer ID],customers[Gender],"")</f>
        <v>Male</v>
      </c>
      <c r="E853" s="46" cm="1">
        <f t="array" ref="E853">_xlfn.XLOOKUP(C853,customers[Customer ID],customers[Age],"")</f>
        <v>26</v>
      </c>
      <c r="F853" s="46" t="str" cm="1">
        <f t="array" ref="F853">_xlfn.XLOOKUP(C853,customers[Customer ID],customers[City],"")</f>
        <v>Cincinnati</v>
      </c>
      <c r="G853">
        <v>133</v>
      </c>
      <c r="H853" s="47" t="s">
        <v>37</v>
      </c>
      <c r="I853" s="48">
        <v>45217</v>
      </c>
      <c r="J853">
        <v>117</v>
      </c>
      <c r="K853">
        <v>4.8</v>
      </c>
      <c r="L853">
        <f>IF(MONTH(calls[[#This Row],[Date of Call]])&lt;=6,YEAR(calls[[#This Row],[Date of Call]]),YEAR(calls[[#This Row],[Date of Call]])+1)</f>
        <v>2024</v>
      </c>
      <c r="M853" t="str">
        <f>TEXT(calls[[#This Row],[Date of Call]],"DDDD")</f>
        <v>Wednesday</v>
      </c>
      <c r="N853" t="str" cm="1">
        <f t="array" ref="N85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53">
        <f>ROUND(calls[[#This Row],[Satisfaction Rating]],0)</f>
        <v>5</v>
      </c>
      <c r="P853" s="53">
        <f t="shared" si="13"/>
        <v>307</v>
      </c>
    </row>
    <row r="854" spans="2:16">
      <c r="B854" t="s">
        <v>934</v>
      </c>
      <c r="C854" t="s">
        <v>63</v>
      </c>
      <c r="D854" s="46" t="str" cm="1">
        <f t="array" ref="D854">_xlfn.XLOOKUP(C854,customers[Customer ID],customers[Gender],"")</f>
        <v>Male</v>
      </c>
      <c r="E854" s="46" cm="1">
        <f t="array" ref="E854">_xlfn.XLOOKUP(C854,customers[Customer ID],customers[Age],"")</f>
        <v>31</v>
      </c>
      <c r="F854" s="46" t="str" cm="1">
        <f t="array" ref="F854">_xlfn.XLOOKUP(C854,customers[Customer ID],customers[City],"")</f>
        <v>Cleveland</v>
      </c>
      <c r="G854">
        <v>166</v>
      </c>
      <c r="H854" s="47" t="s">
        <v>39</v>
      </c>
      <c r="I854" s="48">
        <v>45218</v>
      </c>
      <c r="J854">
        <v>29</v>
      </c>
      <c r="K854">
        <v>4.3</v>
      </c>
      <c r="L854">
        <f>IF(MONTH(calls[[#This Row],[Date of Call]])&lt;=6,YEAR(calls[[#This Row],[Date of Call]]),YEAR(calls[[#This Row],[Date of Call]])+1)</f>
        <v>2024</v>
      </c>
      <c r="M854" t="str">
        <f>TEXT(calls[[#This Row],[Date of Call]],"DDDD")</f>
        <v>Thursday</v>
      </c>
      <c r="N854" t="str" cm="1">
        <f t="array" ref="N85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54">
        <f>ROUND(calls[[#This Row],[Satisfaction Rating]],0)</f>
        <v>4</v>
      </c>
      <c r="P854" s="53">
        <f t="shared" si="13"/>
        <v>307</v>
      </c>
    </row>
    <row r="855" spans="2:16">
      <c r="B855" t="s">
        <v>935</v>
      </c>
      <c r="C855" t="s">
        <v>59</v>
      </c>
      <c r="D855" s="46" t="str" cm="1">
        <f t="array" ref="D855">_xlfn.XLOOKUP(C855,customers[Customer ID],customers[Gender],"")</f>
        <v>Male</v>
      </c>
      <c r="E855" s="46" cm="1">
        <f t="array" ref="E855">_xlfn.XLOOKUP(C855,customers[Customer ID],customers[Age],"")</f>
        <v>26</v>
      </c>
      <c r="F855" s="46" t="str" cm="1">
        <f t="array" ref="F855">_xlfn.XLOOKUP(C855,customers[Customer ID],customers[City],"")</f>
        <v>Cincinnati</v>
      </c>
      <c r="G855">
        <v>50</v>
      </c>
      <c r="H855" s="47" t="s">
        <v>36</v>
      </c>
      <c r="I855" s="48">
        <v>45218</v>
      </c>
      <c r="J855">
        <v>64</v>
      </c>
      <c r="K855">
        <v>4.5</v>
      </c>
      <c r="L855">
        <f>IF(MONTH(calls[[#This Row],[Date of Call]])&lt;=6,YEAR(calls[[#This Row],[Date of Call]]),YEAR(calls[[#This Row],[Date of Call]])+1)</f>
        <v>2024</v>
      </c>
      <c r="M855" t="str">
        <f>TEXT(calls[[#This Row],[Date of Call]],"DDDD")</f>
        <v>Thursday</v>
      </c>
      <c r="N855" t="str" cm="1">
        <f t="array" ref="N85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55">
        <f>ROUND(calls[[#This Row],[Satisfaction Rating]],0)</f>
        <v>5</v>
      </c>
      <c r="P855" s="53">
        <f t="shared" si="13"/>
        <v>307</v>
      </c>
    </row>
    <row r="856" spans="2:16">
      <c r="B856" t="s">
        <v>936</v>
      </c>
      <c r="C856" t="s">
        <v>68</v>
      </c>
      <c r="D856" s="46" t="str" cm="1">
        <f t="array" ref="D856">_xlfn.XLOOKUP(C856,customers[Customer ID],customers[Gender],"")</f>
        <v>Female</v>
      </c>
      <c r="E856" s="46" cm="1">
        <f t="array" ref="E856">_xlfn.XLOOKUP(C856,customers[Customer ID],customers[Age],"")</f>
        <v>43</v>
      </c>
      <c r="F856" s="46" t="str" cm="1">
        <f t="array" ref="F856">_xlfn.XLOOKUP(C856,customers[Customer ID],customers[City],"")</f>
        <v>Cleveland</v>
      </c>
      <c r="G856">
        <v>43</v>
      </c>
      <c r="H856" s="47" t="s">
        <v>37</v>
      </c>
      <c r="I856" s="48">
        <v>45218</v>
      </c>
      <c r="J856">
        <v>84</v>
      </c>
      <c r="K856">
        <v>3.6</v>
      </c>
      <c r="L856">
        <f>IF(MONTH(calls[[#This Row],[Date of Call]])&lt;=6,YEAR(calls[[#This Row],[Date of Call]]),YEAR(calls[[#This Row],[Date of Call]])+1)</f>
        <v>2024</v>
      </c>
      <c r="M856" t="str">
        <f>TEXT(calls[[#This Row],[Date of Call]],"DDDD")</f>
        <v>Thursday</v>
      </c>
      <c r="N856" t="str" cm="1">
        <f t="array" ref="N85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56">
        <f>ROUND(calls[[#This Row],[Satisfaction Rating]],0)</f>
        <v>4</v>
      </c>
      <c r="P856" s="53">
        <f t="shared" si="13"/>
        <v>307</v>
      </c>
    </row>
    <row r="857" spans="2:16">
      <c r="B857" t="s">
        <v>937</v>
      </c>
      <c r="C857" t="s">
        <v>67</v>
      </c>
      <c r="D857" s="46" t="str" cm="1">
        <f t="array" ref="D857">_xlfn.XLOOKUP(C857,customers[Customer ID],customers[Gender],"")</f>
        <v>Female</v>
      </c>
      <c r="E857" s="46" cm="1">
        <f t="array" ref="E857">_xlfn.XLOOKUP(C857,customers[Customer ID],customers[Age],"")</f>
        <v>37</v>
      </c>
      <c r="F857" s="46" t="str" cm="1">
        <f t="array" ref="F857">_xlfn.XLOOKUP(C857,customers[Customer ID],customers[City],"")</f>
        <v>Cleveland</v>
      </c>
      <c r="G857">
        <v>124</v>
      </c>
      <c r="H857" s="47" t="s">
        <v>38</v>
      </c>
      <c r="I857" s="48">
        <v>45218</v>
      </c>
      <c r="J857">
        <v>42</v>
      </c>
      <c r="K857">
        <v>3.7</v>
      </c>
      <c r="L857">
        <f>IF(MONTH(calls[[#This Row],[Date of Call]])&lt;=6,YEAR(calls[[#This Row],[Date of Call]]),YEAR(calls[[#This Row],[Date of Call]])+1)</f>
        <v>2024</v>
      </c>
      <c r="M857" t="str">
        <f>TEXT(calls[[#This Row],[Date of Call]],"DDDD")</f>
        <v>Thursday</v>
      </c>
      <c r="N857" t="str" cm="1">
        <f t="array" ref="N85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57">
        <f>ROUND(calls[[#This Row],[Satisfaction Rating]],0)</f>
        <v>4</v>
      </c>
      <c r="P857" s="53">
        <f t="shared" si="13"/>
        <v>307</v>
      </c>
    </row>
    <row r="858" spans="2:16">
      <c r="B858" t="s">
        <v>938</v>
      </c>
      <c r="C858" t="s">
        <v>73</v>
      </c>
      <c r="D858" s="46" t="str" cm="1">
        <f t="array" ref="D858">_xlfn.XLOOKUP(C858,customers[Customer ID],customers[Gender],"")</f>
        <v>Female</v>
      </c>
      <c r="E858" s="46" cm="1">
        <f t="array" ref="E858">_xlfn.XLOOKUP(C858,customers[Customer ID],customers[Age],"")</f>
        <v>38</v>
      </c>
      <c r="F858" s="46" t="str" cm="1">
        <f t="array" ref="F858">_xlfn.XLOOKUP(C858,customers[Customer ID],customers[City],"")</f>
        <v>Columbus</v>
      </c>
      <c r="G858">
        <v>94</v>
      </c>
      <c r="H858" s="47" t="s">
        <v>38</v>
      </c>
      <c r="I858" s="48">
        <v>45218</v>
      </c>
      <c r="J858">
        <v>120</v>
      </c>
      <c r="K858">
        <v>3.5</v>
      </c>
      <c r="L858">
        <f>IF(MONTH(calls[[#This Row],[Date of Call]])&lt;=6,YEAR(calls[[#This Row],[Date of Call]]),YEAR(calls[[#This Row],[Date of Call]])+1)</f>
        <v>2024</v>
      </c>
      <c r="M858" t="str">
        <f>TEXT(calls[[#This Row],[Date of Call]],"DDDD")</f>
        <v>Thursday</v>
      </c>
      <c r="N858" t="str" cm="1">
        <f t="array" ref="N8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58">
        <f>ROUND(calls[[#This Row],[Satisfaction Rating]],0)</f>
        <v>4</v>
      </c>
      <c r="P858" s="53">
        <f t="shared" si="13"/>
        <v>307</v>
      </c>
    </row>
    <row r="859" spans="2:16">
      <c r="B859" t="s">
        <v>939</v>
      </c>
      <c r="C859" t="s">
        <v>68</v>
      </c>
      <c r="D859" s="46" t="str" cm="1">
        <f t="array" ref="D859">_xlfn.XLOOKUP(C859,customers[Customer ID],customers[Gender],"")</f>
        <v>Female</v>
      </c>
      <c r="E859" s="46" cm="1">
        <f t="array" ref="E859">_xlfn.XLOOKUP(C859,customers[Customer ID],customers[Age],"")</f>
        <v>43</v>
      </c>
      <c r="F859" s="46" t="str" cm="1">
        <f t="array" ref="F859">_xlfn.XLOOKUP(C859,customers[Customer ID],customers[City],"")</f>
        <v>Cleveland</v>
      </c>
      <c r="G859">
        <v>126</v>
      </c>
      <c r="H859" s="47" t="s">
        <v>39</v>
      </c>
      <c r="I859" s="48">
        <v>45219</v>
      </c>
      <c r="J859">
        <v>80</v>
      </c>
      <c r="K859">
        <v>4.7</v>
      </c>
      <c r="L859">
        <f>IF(MONTH(calls[[#This Row],[Date of Call]])&lt;=6,YEAR(calls[[#This Row],[Date of Call]]),YEAR(calls[[#This Row],[Date of Call]])+1)</f>
        <v>2024</v>
      </c>
      <c r="M859" t="str">
        <f>TEXT(calls[[#This Row],[Date of Call]],"DDDD")</f>
        <v>Friday</v>
      </c>
      <c r="N859" t="str" cm="1">
        <f t="array" ref="N85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59">
        <f>ROUND(calls[[#This Row],[Satisfaction Rating]],0)</f>
        <v>5</v>
      </c>
      <c r="P859" s="53">
        <f t="shared" si="13"/>
        <v>307</v>
      </c>
    </row>
    <row r="860" spans="2:16">
      <c r="B860" t="s">
        <v>940</v>
      </c>
      <c r="C860" t="s">
        <v>63</v>
      </c>
      <c r="D860" s="46" t="str" cm="1">
        <f t="array" ref="D860">_xlfn.XLOOKUP(C860,customers[Customer ID],customers[Gender],"")</f>
        <v>Male</v>
      </c>
      <c r="E860" s="46" cm="1">
        <f t="array" ref="E860">_xlfn.XLOOKUP(C860,customers[Customer ID],customers[Age],"")</f>
        <v>31</v>
      </c>
      <c r="F860" s="46" t="str" cm="1">
        <f t="array" ref="F860">_xlfn.XLOOKUP(C860,customers[Customer ID],customers[City],"")</f>
        <v>Cleveland</v>
      </c>
      <c r="G860">
        <v>105</v>
      </c>
      <c r="H860" s="47" t="s">
        <v>36</v>
      </c>
      <c r="I860" s="48">
        <v>45219</v>
      </c>
      <c r="J860">
        <v>185</v>
      </c>
      <c r="K860">
        <v>3.5</v>
      </c>
      <c r="L860">
        <f>IF(MONTH(calls[[#This Row],[Date of Call]])&lt;=6,YEAR(calls[[#This Row],[Date of Call]]),YEAR(calls[[#This Row],[Date of Call]])+1)</f>
        <v>2024</v>
      </c>
      <c r="M860" t="str">
        <f>TEXT(calls[[#This Row],[Date of Call]],"DDDD")</f>
        <v>Friday</v>
      </c>
      <c r="N860" t="str" cm="1">
        <f t="array" ref="N8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60">
        <f>ROUND(calls[[#This Row],[Satisfaction Rating]],0)</f>
        <v>4</v>
      </c>
      <c r="P860" s="53">
        <f t="shared" si="13"/>
        <v>307</v>
      </c>
    </row>
    <row r="861" spans="2:16">
      <c r="B861" t="s">
        <v>941</v>
      </c>
      <c r="C861" t="s">
        <v>61</v>
      </c>
      <c r="D861" s="46" t="str" cm="1">
        <f t="array" ref="D861">_xlfn.XLOOKUP(C861,customers[Customer ID],customers[Gender],"")</f>
        <v>Female</v>
      </c>
      <c r="E861" s="46" cm="1">
        <f t="array" ref="E861">_xlfn.XLOOKUP(C861,customers[Customer ID],customers[Age],"")</f>
        <v>30</v>
      </c>
      <c r="F861" s="46" t="str" cm="1">
        <f t="array" ref="F861">_xlfn.XLOOKUP(C861,customers[Customer ID],customers[City],"")</f>
        <v>Cincinnati</v>
      </c>
      <c r="G861">
        <v>60</v>
      </c>
      <c r="H861" s="47" t="s">
        <v>40</v>
      </c>
      <c r="I861" s="48">
        <v>45220</v>
      </c>
      <c r="J861">
        <v>135</v>
      </c>
      <c r="K861">
        <v>3.9</v>
      </c>
      <c r="L861">
        <f>IF(MONTH(calls[[#This Row],[Date of Call]])&lt;=6,YEAR(calls[[#This Row],[Date of Call]]),YEAR(calls[[#This Row],[Date of Call]])+1)</f>
        <v>2024</v>
      </c>
      <c r="M861" t="str">
        <f>TEXT(calls[[#This Row],[Date of Call]],"DDDD")</f>
        <v>Saturday</v>
      </c>
      <c r="N861" t="str" cm="1">
        <f t="array" ref="N86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61">
        <f>ROUND(calls[[#This Row],[Satisfaction Rating]],0)</f>
        <v>4</v>
      </c>
      <c r="P861" s="53">
        <f t="shared" si="13"/>
        <v>307</v>
      </c>
    </row>
    <row r="862" spans="2:16">
      <c r="B862" t="s">
        <v>942</v>
      </c>
      <c r="C862" t="s">
        <v>61</v>
      </c>
      <c r="D862" s="46" t="str" cm="1">
        <f t="array" ref="D862">_xlfn.XLOOKUP(C862,customers[Customer ID],customers[Gender],"")</f>
        <v>Female</v>
      </c>
      <c r="E862" s="46" cm="1">
        <f t="array" ref="E862">_xlfn.XLOOKUP(C862,customers[Customer ID],customers[Age],"")</f>
        <v>30</v>
      </c>
      <c r="F862" s="46" t="str" cm="1">
        <f t="array" ref="F862">_xlfn.XLOOKUP(C862,customers[Customer ID],customers[City],"")</f>
        <v>Cincinnati</v>
      </c>
      <c r="G862">
        <v>72</v>
      </c>
      <c r="H862" s="47" t="s">
        <v>36</v>
      </c>
      <c r="I862" s="48">
        <v>45220</v>
      </c>
      <c r="J862">
        <v>20</v>
      </c>
      <c r="K862">
        <v>4.8</v>
      </c>
      <c r="L862">
        <f>IF(MONTH(calls[[#This Row],[Date of Call]])&lt;=6,YEAR(calls[[#This Row],[Date of Call]]),YEAR(calls[[#This Row],[Date of Call]])+1)</f>
        <v>2024</v>
      </c>
      <c r="M862" t="str">
        <f>TEXT(calls[[#This Row],[Date of Call]],"DDDD")</f>
        <v>Saturday</v>
      </c>
      <c r="N862" t="str" cm="1">
        <f t="array" ref="N8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62">
        <f>ROUND(calls[[#This Row],[Satisfaction Rating]],0)</f>
        <v>5</v>
      </c>
      <c r="P862" s="53">
        <f t="shared" si="13"/>
        <v>307</v>
      </c>
    </row>
    <row r="863" spans="2:16">
      <c r="B863" t="s">
        <v>943</v>
      </c>
      <c r="C863" t="s">
        <v>62</v>
      </c>
      <c r="D863" s="46" t="str" cm="1">
        <f t="array" ref="D863">_xlfn.XLOOKUP(C863,customers[Customer ID],customers[Gender],"")</f>
        <v>Female</v>
      </c>
      <c r="E863" s="46" cm="1">
        <f t="array" ref="E863">_xlfn.XLOOKUP(C863,customers[Customer ID],customers[Age],"")</f>
        <v>28</v>
      </c>
      <c r="F863" s="46" t="str" cm="1">
        <f t="array" ref="F863">_xlfn.XLOOKUP(C863,customers[Customer ID],customers[City],"")</f>
        <v>Cincinnati</v>
      </c>
      <c r="G863">
        <v>40</v>
      </c>
      <c r="H863" s="47" t="s">
        <v>36</v>
      </c>
      <c r="I863" s="48">
        <v>45220</v>
      </c>
      <c r="J863">
        <v>31</v>
      </c>
      <c r="K863">
        <v>4</v>
      </c>
      <c r="L863">
        <f>IF(MONTH(calls[[#This Row],[Date of Call]])&lt;=6,YEAR(calls[[#This Row],[Date of Call]]),YEAR(calls[[#This Row],[Date of Call]])+1)</f>
        <v>2024</v>
      </c>
      <c r="M863" t="str">
        <f>TEXT(calls[[#This Row],[Date of Call]],"DDDD")</f>
        <v>Saturday</v>
      </c>
      <c r="N863" t="str" cm="1">
        <f t="array" ref="N86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63">
        <f>ROUND(calls[[#This Row],[Satisfaction Rating]],0)</f>
        <v>4</v>
      </c>
      <c r="P863" s="53">
        <f t="shared" si="13"/>
        <v>307</v>
      </c>
    </row>
    <row r="864" spans="2:16">
      <c r="B864" t="s">
        <v>944</v>
      </c>
      <c r="C864" t="s">
        <v>65</v>
      </c>
      <c r="D864" s="46" t="str" cm="1">
        <f t="array" ref="D864">_xlfn.XLOOKUP(C864,customers[Customer ID],customers[Gender],"")</f>
        <v>Female</v>
      </c>
      <c r="E864" s="46" cm="1">
        <f t="array" ref="E864">_xlfn.XLOOKUP(C864,customers[Customer ID],customers[Age],"")</f>
        <v>42</v>
      </c>
      <c r="F864" s="46" t="str" cm="1">
        <f t="array" ref="F864">_xlfn.XLOOKUP(C864,customers[Customer ID],customers[City],"")</f>
        <v>Cleveland</v>
      </c>
      <c r="G864">
        <v>54</v>
      </c>
      <c r="H864" s="47" t="s">
        <v>39</v>
      </c>
      <c r="I864" s="48">
        <v>45221</v>
      </c>
      <c r="J864">
        <v>120</v>
      </c>
      <c r="K864">
        <v>4.7</v>
      </c>
      <c r="L864">
        <f>IF(MONTH(calls[[#This Row],[Date of Call]])&lt;=6,YEAR(calls[[#This Row],[Date of Call]]),YEAR(calls[[#This Row],[Date of Call]])+1)</f>
        <v>2024</v>
      </c>
      <c r="M864" t="str">
        <f>TEXT(calls[[#This Row],[Date of Call]],"DDDD")</f>
        <v>Sunday</v>
      </c>
      <c r="N864" t="str" cm="1">
        <f t="array" ref="N86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64">
        <f>ROUND(calls[[#This Row],[Satisfaction Rating]],0)</f>
        <v>5</v>
      </c>
      <c r="P864" s="53">
        <f t="shared" si="13"/>
        <v>307</v>
      </c>
    </row>
    <row r="865" spans="2:16">
      <c r="B865" t="s">
        <v>945</v>
      </c>
      <c r="C865" t="s">
        <v>60</v>
      </c>
      <c r="D865" s="46" t="str" cm="1">
        <f t="array" ref="D865">_xlfn.XLOOKUP(C865,customers[Customer ID],customers[Gender],"")</f>
        <v>Male</v>
      </c>
      <c r="E865" s="46" cm="1">
        <f t="array" ref="E865">_xlfn.XLOOKUP(C865,customers[Customer ID],customers[Age],"")</f>
        <v>36</v>
      </c>
      <c r="F865" s="46" t="str" cm="1">
        <f t="array" ref="F865">_xlfn.XLOOKUP(C865,customers[Customer ID],customers[City],"")</f>
        <v>Cincinnati</v>
      </c>
      <c r="G865">
        <v>81</v>
      </c>
      <c r="H865" s="47" t="s">
        <v>37</v>
      </c>
      <c r="I865" s="48">
        <v>45221</v>
      </c>
      <c r="J865">
        <v>117</v>
      </c>
      <c r="K865">
        <v>3.6</v>
      </c>
      <c r="L865">
        <f>IF(MONTH(calls[[#This Row],[Date of Call]])&lt;=6,YEAR(calls[[#This Row],[Date of Call]]),YEAR(calls[[#This Row],[Date of Call]])+1)</f>
        <v>2024</v>
      </c>
      <c r="M865" t="str">
        <f>TEXT(calls[[#This Row],[Date of Call]],"DDDD")</f>
        <v>Sunday</v>
      </c>
      <c r="N865" t="str" cm="1">
        <f t="array" ref="N86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65">
        <f>ROUND(calls[[#This Row],[Satisfaction Rating]],0)</f>
        <v>4</v>
      </c>
      <c r="P865" s="53">
        <f t="shared" si="13"/>
        <v>307</v>
      </c>
    </row>
    <row r="866" spans="2:16">
      <c r="B866" t="s">
        <v>946</v>
      </c>
      <c r="C866" t="s">
        <v>65</v>
      </c>
      <c r="D866" s="46" t="str" cm="1">
        <f t="array" ref="D866">_xlfn.XLOOKUP(C866,customers[Customer ID],customers[Gender],"")</f>
        <v>Female</v>
      </c>
      <c r="E866" s="46" cm="1">
        <f t="array" ref="E866">_xlfn.XLOOKUP(C866,customers[Customer ID],customers[Age],"")</f>
        <v>42</v>
      </c>
      <c r="F866" s="46" t="str" cm="1">
        <f t="array" ref="F866">_xlfn.XLOOKUP(C866,customers[Customer ID],customers[City],"")</f>
        <v>Cleveland</v>
      </c>
      <c r="G866">
        <v>76</v>
      </c>
      <c r="H866" s="47" t="s">
        <v>38</v>
      </c>
      <c r="I866" s="48">
        <v>45221</v>
      </c>
      <c r="J866">
        <v>80</v>
      </c>
      <c r="K866">
        <v>4.5</v>
      </c>
      <c r="L866">
        <f>IF(MONTH(calls[[#This Row],[Date of Call]])&lt;=6,YEAR(calls[[#This Row],[Date of Call]]),YEAR(calls[[#This Row],[Date of Call]])+1)</f>
        <v>2024</v>
      </c>
      <c r="M866" t="str">
        <f>TEXT(calls[[#This Row],[Date of Call]],"DDDD")</f>
        <v>Sunday</v>
      </c>
      <c r="N866" t="str" cm="1">
        <f t="array" ref="N86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66">
        <f>ROUND(calls[[#This Row],[Satisfaction Rating]],0)</f>
        <v>5</v>
      </c>
      <c r="P866" s="53">
        <f t="shared" si="13"/>
        <v>307</v>
      </c>
    </row>
    <row r="867" spans="2:16">
      <c r="B867" t="s">
        <v>947</v>
      </c>
      <c r="C867" t="s">
        <v>65</v>
      </c>
      <c r="D867" s="46" t="str" cm="1">
        <f t="array" ref="D867">_xlfn.XLOOKUP(C867,customers[Customer ID],customers[Gender],"")</f>
        <v>Female</v>
      </c>
      <c r="E867" s="46" cm="1">
        <f t="array" ref="E867">_xlfn.XLOOKUP(C867,customers[Customer ID],customers[Age],"")</f>
        <v>42</v>
      </c>
      <c r="F867" s="46" t="str" cm="1">
        <f t="array" ref="F867">_xlfn.XLOOKUP(C867,customers[Customer ID],customers[City],"")</f>
        <v>Cleveland</v>
      </c>
      <c r="G867">
        <v>37</v>
      </c>
      <c r="H867" s="47" t="s">
        <v>40</v>
      </c>
      <c r="I867" s="48">
        <v>45222</v>
      </c>
      <c r="J867">
        <v>117</v>
      </c>
      <c r="K867">
        <v>4</v>
      </c>
      <c r="L867">
        <f>IF(MONTH(calls[[#This Row],[Date of Call]])&lt;=6,YEAR(calls[[#This Row],[Date of Call]]),YEAR(calls[[#This Row],[Date of Call]])+1)</f>
        <v>2024</v>
      </c>
      <c r="M867" t="str">
        <f>TEXT(calls[[#This Row],[Date of Call]],"DDDD")</f>
        <v>Monday</v>
      </c>
      <c r="N867" t="str" cm="1">
        <f t="array" ref="N86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67">
        <f>ROUND(calls[[#This Row],[Satisfaction Rating]],0)</f>
        <v>4</v>
      </c>
      <c r="P867" s="53">
        <f t="shared" si="13"/>
        <v>307</v>
      </c>
    </row>
    <row r="868" spans="2:16">
      <c r="B868" t="s">
        <v>948</v>
      </c>
      <c r="C868" t="s">
        <v>63</v>
      </c>
      <c r="D868" s="46" t="str" cm="1">
        <f t="array" ref="D868">_xlfn.XLOOKUP(C868,customers[Customer ID],customers[Gender],"")</f>
        <v>Male</v>
      </c>
      <c r="E868" s="46" cm="1">
        <f t="array" ref="E868">_xlfn.XLOOKUP(C868,customers[Customer ID],customers[Age],"")</f>
        <v>31</v>
      </c>
      <c r="F868" s="46" t="str" cm="1">
        <f t="array" ref="F868">_xlfn.XLOOKUP(C868,customers[Customer ID],customers[City],"")</f>
        <v>Cleveland</v>
      </c>
      <c r="G868">
        <v>96</v>
      </c>
      <c r="H868" s="47" t="s">
        <v>39</v>
      </c>
      <c r="I868" s="48">
        <v>45222</v>
      </c>
      <c r="J868">
        <v>60</v>
      </c>
      <c r="K868">
        <v>4.5</v>
      </c>
      <c r="L868">
        <f>IF(MONTH(calls[[#This Row],[Date of Call]])&lt;=6,YEAR(calls[[#This Row],[Date of Call]]),YEAR(calls[[#This Row],[Date of Call]])+1)</f>
        <v>2024</v>
      </c>
      <c r="M868" t="str">
        <f>TEXT(calls[[#This Row],[Date of Call]],"DDDD")</f>
        <v>Monday</v>
      </c>
      <c r="N868" t="str" cm="1">
        <f t="array" ref="N86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68">
        <f>ROUND(calls[[#This Row],[Satisfaction Rating]],0)</f>
        <v>5</v>
      </c>
      <c r="P868" s="53">
        <f t="shared" si="13"/>
        <v>307</v>
      </c>
    </row>
    <row r="869" spans="2:16">
      <c r="B869" t="s">
        <v>949</v>
      </c>
      <c r="C869" t="s">
        <v>61</v>
      </c>
      <c r="D869" s="46" t="str" cm="1">
        <f t="array" ref="D869">_xlfn.XLOOKUP(C869,customers[Customer ID],customers[Gender],"")</f>
        <v>Female</v>
      </c>
      <c r="E869" s="46" cm="1">
        <f t="array" ref="E869">_xlfn.XLOOKUP(C869,customers[Customer ID],customers[Age],"")</f>
        <v>30</v>
      </c>
      <c r="F869" s="46" t="str" cm="1">
        <f t="array" ref="F869">_xlfn.XLOOKUP(C869,customers[Customer ID],customers[City],"")</f>
        <v>Cincinnati</v>
      </c>
      <c r="G869">
        <v>19</v>
      </c>
      <c r="H869" s="47" t="s">
        <v>38</v>
      </c>
      <c r="I869" s="48">
        <v>45223</v>
      </c>
      <c r="J869">
        <v>58</v>
      </c>
      <c r="K869">
        <v>3.9</v>
      </c>
      <c r="L869">
        <f>IF(MONTH(calls[[#This Row],[Date of Call]])&lt;=6,YEAR(calls[[#This Row],[Date of Call]]),YEAR(calls[[#This Row],[Date of Call]])+1)</f>
        <v>2024</v>
      </c>
      <c r="M869" t="str">
        <f>TEXT(calls[[#This Row],[Date of Call]],"DDDD")</f>
        <v>Tuesday</v>
      </c>
      <c r="N869" t="str" cm="1">
        <f t="array" ref="N86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869">
        <f>ROUND(calls[[#This Row],[Satisfaction Rating]],0)</f>
        <v>4</v>
      </c>
      <c r="P869" s="53">
        <f t="shared" si="13"/>
        <v>307</v>
      </c>
    </row>
    <row r="870" spans="2:16">
      <c r="B870" t="s">
        <v>950</v>
      </c>
      <c r="C870" t="s">
        <v>62</v>
      </c>
      <c r="D870" s="46" t="str" cm="1">
        <f t="array" ref="D870">_xlfn.XLOOKUP(C870,customers[Customer ID],customers[Gender],"")</f>
        <v>Female</v>
      </c>
      <c r="E870" s="46" cm="1">
        <f t="array" ref="E870">_xlfn.XLOOKUP(C870,customers[Customer ID],customers[Age],"")</f>
        <v>28</v>
      </c>
      <c r="F870" s="46" t="str" cm="1">
        <f t="array" ref="F870">_xlfn.XLOOKUP(C870,customers[Customer ID],customers[City],"")</f>
        <v>Cincinnati</v>
      </c>
      <c r="G870">
        <v>72</v>
      </c>
      <c r="H870" s="47" t="s">
        <v>40</v>
      </c>
      <c r="I870" s="48">
        <v>45223</v>
      </c>
      <c r="J870">
        <v>41</v>
      </c>
      <c r="K870">
        <v>4.3</v>
      </c>
      <c r="L870">
        <f>IF(MONTH(calls[[#This Row],[Date of Call]])&lt;=6,YEAR(calls[[#This Row],[Date of Call]]),YEAR(calls[[#This Row],[Date of Call]])+1)</f>
        <v>2024</v>
      </c>
      <c r="M870" t="str">
        <f>TEXT(calls[[#This Row],[Date of Call]],"DDDD")</f>
        <v>Tuesday</v>
      </c>
      <c r="N870" t="str" cm="1">
        <f t="array" ref="N8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70">
        <f>ROUND(calls[[#This Row],[Satisfaction Rating]],0)</f>
        <v>4</v>
      </c>
      <c r="P870" s="53">
        <f t="shared" si="13"/>
        <v>307</v>
      </c>
    </row>
    <row r="871" spans="2:16">
      <c r="B871" t="s">
        <v>951</v>
      </c>
      <c r="C871" t="s">
        <v>73</v>
      </c>
      <c r="D871" s="46" t="str" cm="1">
        <f t="array" ref="D871">_xlfn.XLOOKUP(C871,customers[Customer ID],customers[Gender],"")</f>
        <v>Female</v>
      </c>
      <c r="E871" s="46" cm="1">
        <f t="array" ref="E871">_xlfn.XLOOKUP(C871,customers[Customer ID],customers[Age],"")</f>
        <v>38</v>
      </c>
      <c r="F871" s="46" t="str" cm="1">
        <f t="array" ref="F871">_xlfn.XLOOKUP(C871,customers[Customer ID],customers[City],"")</f>
        <v>Columbus</v>
      </c>
      <c r="G871">
        <v>73</v>
      </c>
      <c r="H871" s="47" t="s">
        <v>37</v>
      </c>
      <c r="I871" s="48">
        <v>45223</v>
      </c>
      <c r="J871">
        <v>180</v>
      </c>
      <c r="K871">
        <v>3.6</v>
      </c>
      <c r="L871">
        <f>IF(MONTH(calls[[#This Row],[Date of Call]])&lt;=6,YEAR(calls[[#This Row],[Date of Call]]),YEAR(calls[[#This Row],[Date of Call]])+1)</f>
        <v>2024</v>
      </c>
      <c r="M871" t="str">
        <f>TEXT(calls[[#This Row],[Date of Call]],"DDDD")</f>
        <v>Tuesday</v>
      </c>
      <c r="N871" t="str" cm="1">
        <f t="array" ref="N87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71">
        <f>ROUND(calls[[#This Row],[Satisfaction Rating]],0)</f>
        <v>4</v>
      </c>
      <c r="P871" s="53">
        <f t="shared" si="13"/>
        <v>307</v>
      </c>
    </row>
    <row r="872" spans="2:16">
      <c r="B872" t="s">
        <v>952</v>
      </c>
      <c r="C872" t="s">
        <v>69</v>
      </c>
      <c r="D872" s="46" t="str" cm="1">
        <f t="array" ref="D872">_xlfn.XLOOKUP(C872,customers[Customer ID],customers[Gender],"")</f>
        <v>Male</v>
      </c>
      <c r="E872" s="46" cm="1">
        <f t="array" ref="E872">_xlfn.XLOOKUP(C872,customers[Customer ID],customers[Age],"")</f>
        <v>41</v>
      </c>
      <c r="F872" s="46" t="str" cm="1">
        <f t="array" ref="F872">_xlfn.XLOOKUP(C872,customers[Customer ID],customers[City],"")</f>
        <v>Columbus</v>
      </c>
      <c r="G872">
        <v>87</v>
      </c>
      <c r="H872" s="47" t="s">
        <v>37</v>
      </c>
      <c r="I872" s="48">
        <v>45223</v>
      </c>
      <c r="J872">
        <v>42</v>
      </c>
      <c r="K872">
        <v>3.6</v>
      </c>
      <c r="L872">
        <f>IF(MONTH(calls[[#This Row],[Date of Call]])&lt;=6,YEAR(calls[[#This Row],[Date of Call]]),YEAR(calls[[#This Row],[Date of Call]])+1)</f>
        <v>2024</v>
      </c>
      <c r="M872" t="str">
        <f>TEXT(calls[[#This Row],[Date of Call]],"DDDD")</f>
        <v>Tuesday</v>
      </c>
      <c r="N872" t="str" cm="1">
        <f t="array" ref="N8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72">
        <f>ROUND(calls[[#This Row],[Satisfaction Rating]],0)</f>
        <v>4</v>
      </c>
      <c r="P872" s="53">
        <f t="shared" si="13"/>
        <v>307</v>
      </c>
    </row>
    <row r="873" spans="2:16">
      <c r="B873" t="s">
        <v>953</v>
      </c>
      <c r="C873" t="s">
        <v>69</v>
      </c>
      <c r="D873" s="46" t="str" cm="1">
        <f t="array" ref="D873">_xlfn.XLOOKUP(C873,customers[Customer ID],customers[Gender],"")</f>
        <v>Male</v>
      </c>
      <c r="E873" s="46" cm="1">
        <f t="array" ref="E873">_xlfn.XLOOKUP(C873,customers[Customer ID],customers[Age],"")</f>
        <v>41</v>
      </c>
      <c r="F873" s="46" t="str" cm="1">
        <f t="array" ref="F873">_xlfn.XLOOKUP(C873,customers[Customer ID],customers[City],"")</f>
        <v>Columbus</v>
      </c>
      <c r="G873">
        <v>68</v>
      </c>
      <c r="H873" s="47" t="s">
        <v>37</v>
      </c>
      <c r="I873" s="48">
        <v>45224</v>
      </c>
      <c r="J873">
        <v>24</v>
      </c>
      <c r="K873">
        <v>4</v>
      </c>
      <c r="L873">
        <f>IF(MONTH(calls[[#This Row],[Date of Call]])&lt;=6,YEAR(calls[[#This Row],[Date of Call]]),YEAR(calls[[#This Row],[Date of Call]])+1)</f>
        <v>2024</v>
      </c>
      <c r="M873" t="str">
        <f>TEXT(calls[[#This Row],[Date of Call]],"DDDD")</f>
        <v>Wednesday</v>
      </c>
      <c r="N873" t="str" cm="1">
        <f t="array" ref="N8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73">
        <f>ROUND(calls[[#This Row],[Satisfaction Rating]],0)</f>
        <v>4</v>
      </c>
      <c r="P873" s="53">
        <f t="shared" si="13"/>
        <v>307</v>
      </c>
    </row>
    <row r="874" spans="2:16">
      <c r="B874" t="s">
        <v>954</v>
      </c>
      <c r="C874" t="s">
        <v>62</v>
      </c>
      <c r="D874" s="46" t="str" cm="1">
        <f t="array" ref="D874">_xlfn.XLOOKUP(C874,customers[Customer ID],customers[Gender],"")</f>
        <v>Female</v>
      </c>
      <c r="E874" s="46" cm="1">
        <f t="array" ref="E874">_xlfn.XLOOKUP(C874,customers[Customer ID],customers[Age],"")</f>
        <v>28</v>
      </c>
      <c r="F874" s="46" t="str" cm="1">
        <f t="array" ref="F874">_xlfn.XLOOKUP(C874,customers[Customer ID],customers[City],"")</f>
        <v>Cincinnati</v>
      </c>
      <c r="G874">
        <v>101</v>
      </c>
      <c r="H874" s="47" t="s">
        <v>37</v>
      </c>
      <c r="I874" s="48">
        <v>45224</v>
      </c>
      <c r="J874">
        <v>125</v>
      </c>
      <c r="K874">
        <v>4.2</v>
      </c>
      <c r="L874">
        <f>IF(MONTH(calls[[#This Row],[Date of Call]])&lt;=6,YEAR(calls[[#This Row],[Date of Call]]),YEAR(calls[[#This Row],[Date of Call]])+1)</f>
        <v>2024</v>
      </c>
      <c r="M874" t="str">
        <f>TEXT(calls[[#This Row],[Date of Call]],"DDDD")</f>
        <v>Wednesday</v>
      </c>
      <c r="N874" t="str" cm="1">
        <f t="array" ref="N8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74">
        <f>ROUND(calls[[#This Row],[Satisfaction Rating]],0)</f>
        <v>4</v>
      </c>
      <c r="P874" s="53">
        <f t="shared" si="13"/>
        <v>307</v>
      </c>
    </row>
    <row r="875" spans="2:16">
      <c r="B875" t="s">
        <v>955</v>
      </c>
      <c r="C875" t="s">
        <v>62</v>
      </c>
      <c r="D875" s="46" t="str" cm="1">
        <f t="array" ref="D875">_xlfn.XLOOKUP(C875,customers[Customer ID],customers[Gender],"")</f>
        <v>Female</v>
      </c>
      <c r="E875" s="46" cm="1">
        <f t="array" ref="E875">_xlfn.XLOOKUP(C875,customers[Customer ID],customers[Age],"")</f>
        <v>28</v>
      </c>
      <c r="F875" s="46" t="str" cm="1">
        <f t="array" ref="F875">_xlfn.XLOOKUP(C875,customers[Customer ID],customers[City],"")</f>
        <v>Cincinnati</v>
      </c>
      <c r="G875">
        <v>107</v>
      </c>
      <c r="H875" s="47" t="s">
        <v>40</v>
      </c>
      <c r="I875" s="48">
        <v>45225</v>
      </c>
      <c r="J875">
        <v>78</v>
      </c>
      <c r="K875">
        <v>4.3</v>
      </c>
      <c r="L875">
        <f>IF(MONTH(calls[[#This Row],[Date of Call]])&lt;=6,YEAR(calls[[#This Row],[Date of Call]]),YEAR(calls[[#This Row],[Date of Call]])+1)</f>
        <v>2024</v>
      </c>
      <c r="M875" t="str">
        <f>TEXT(calls[[#This Row],[Date of Call]],"DDDD")</f>
        <v>Thursday</v>
      </c>
      <c r="N875" t="str" cm="1">
        <f t="array" ref="N87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75">
        <f>ROUND(calls[[#This Row],[Satisfaction Rating]],0)</f>
        <v>4</v>
      </c>
      <c r="P875" s="53">
        <f t="shared" si="13"/>
        <v>307</v>
      </c>
    </row>
    <row r="876" spans="2:16">
      <c r="B876" t="s">
        <v>956</v>
      </c>
      <c r="C876" t="s">
        <v>72</v>
      </c>
      <c r="D876" s="46" t="str" cm="1">
        <f t="array" ref="D876">_xlfn.XLOOKUP(C876,customers[Customer ID],customers[Gender],"")</f>
        <v>Female</v>
      </c>
      <c r="E876" s="46" cm="1">
        <f t="array" ref="E876">_xlfn.XLOOKUP(C876,customers[Customer ID],customers[Age],"")</f>
        <v>25</v>
      </c>
      <c r="F876" s="46" t="str" cm="1">
        <f t="array" ref="F876">_xlfn.XLOOKUP(C876,customers[Customer ID],customers[City],"")</f>
        <v>Columbus</v>
      </c>
      <c r="G876">
        <v>109</v>
      </c>
      <c r="H876" s="47" t="s">
        <v>36</v>
      </c>
      <c r="I876" s="48">
        <v>45225</v>
      </c>
      <c r="J876">
        <v>180</v>
      </c>
      <c r="K876">
        <v>3.8</v>
      </c>
      <c r="L876">
        <f>IF(MONTH(calls[[#This Row],[Date of Call]])&lt;=6,YEAR(calls[[#This Row],[Date of Call]]),YEAR(calls[[#This Row],[Date of Call]])+1)</f>
        <v>2024</v>
      </c>
      <c r="M876" t="str">
        <f>TEXT(calls[[#This Row],[Date of Call]],"DDDD")</f>
        <v>Thursday</v>
      </c>
      <c r="N876" t="str" cm="1">
        <f t="array" ref="N87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76">
        <f>ROUND(calls[[#This Row],[Satisfaction Rating]],0)</f>
        <v>4</v>
      </c>
      <c r="P876" s="53">
        <f t="shared" si="13"/>
        <v>307</v>
      </c>
    </row>
    <row r="877" spans="2:16">
      <c r="B877" t="s">
        <v>957</v>
      </c>
      <c r="C877" t="s">
        <v>67</v>
      </c>
      <c r="D877" s="46" t="str" cm="1">
        <f t="array" ref="D877">_xlfn.XLOOKUP(C877,customers[Customer ID],customers[Gender],"")</f>
        <v>Female</v>
      </c>
      <c r="E877" s="46" cm="1">
        <f t="array" ref="E877">_xlfn.XLOOKUP(C877,customers[Customer ID],customers[Age],"")</f>
        <v>37</v>
      </c>
      <c r="F877" s="46" t="str" cm="1">
        <f t="array" ref="F877">_xlfn.XLOOKUP(C877,customers[Customer ID],customers[City],"")</f>
        <v>Cleveland</v>
      </c>
      <c r="G877">
        <v>171</v>
      </c>
      <c r="H877" s="47" t="s">
        <v>40</v>
      </c>
      <c r="I877" s="48">
        <v>45225</v>
      </c>
      <c r="J877">
        <v>84</v>
      </c>
      <c r="K877">
        <v>4.4</v>
      </c>
      <c r="L877">
        <f>IF(MONTH(calls[[#This Row],[Date of Call]])&lt;=6,YEAR(calls[[#This Row],[Date of Call]]),YEAR(calls[[#This Row],[Date of Call]])+1)</f>
        <v>2024</v>
      </c>
      <c r="M877" t="str">
        <f>TEXT(calls[[#This Row],[Date of Call]],"DDDD")</f>
        <v>Thursday</v>
      </c>
      <c r="N877" t="str" cm="1">
        <f t="array" ref="N87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77">
        <f>ROUND(calls[[#This Row],[Satisfaction Rating]],0)</f>
        <v>4</v>
      </c>
      <c r="P877" s="53">
        <f t="shared" si="13"/>
        <v>307</v>
      </c>
    </row>
    <row r="878" spans="2:16">
      <c r="B878" t="s">
        <v>958</v>
      </c>
      <c r="C878" t="s">
        <v>61</v>
      </c>
      <c r="D878" s="46" t="str" cm="1">
        <f t="array" ref="D878">_xlfn.XLOOKUP(C878,customers[Customer ID],customers[Gender],"")</f>
        <v>Female</v>
      </c>
      <c r="E878" s="46" cm="1">
        <f t="array" ref="E878">_xlfn.XLOOKUP(C878,customers[Customer ID],customers[Age],"")</f>
        <v>30</v>
      </c>
      <c r="F878" s="46" t="str" cm="1">
        <f t="array" ref="F878">_xlfn.XLOOKUP(C878,customers[Customer ID],customers[City],"")</f>
        <v>Cincinnati</v>
      </c>
      <c r="G878">
        <v>21</v>
      </c>
      <c r="H878" s="47" t="s">
        <v>40</v>
      </c>
      <c r="I878" s="48">
        <v>45225</v>
      </c>
      <c r="J878">
        <v>26</v>
      </c>
      <c r="K878">
        <v>4.7</v>
      </c>
      <c r="L878">
        <f>IF(MONTH(calls[[#This Row],[Date of Call]])&lt;=6,YEAR(calls[[#This Row],[Date of Call]]),YEAR(calls[[#This Row],[Date of Call]])+1)</f>
        <v>2024</v>
      </c>
      <c r="M878" t="str">
        <f>TEXT(calls[[#This Row],[Date of Call]],"DDDD")</f>
        <v>Thursday</v>
      </c>
      <c r="N878" t="str" cm="1">
        <f t="array" ref="N878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878">
        <f>ROUND(calls[[#This Row],[Satisfaction Rating]],0)</f>
        <v>5</v>
      </c>
      <c r="P878" s="53">
        <f t="shared" si="13"/>
        <v>307</v>
      </c>
    </row>
    <row r="879" spans="2:16">
      <c r="B879" t="s">
        <v>959</v>
      </c>
      <c r="C879" t="s">
        <v>60</v>
      </c>
      <c r="D879" s="46" t="str" cm="1">
        <f t="array" ref="D879">_xlfn.XLOOKUP(C879,customers[Customer ID],customers[Gender],"")</f>
        <v>Male</v>
      </c>
      <c r="E879" s="46" cm="1">
        <f t="array" ref="E879">_xlfn.XLOOKUP(C879,customers[Customer ID],customers[Age],"")</f>
        <v>36</v>
      </c>
      <c r="F879" s="46" t="str" cm="1">
        <f t="array" ref="F879">_xlfn.XLOOKUP(C879,customers[Customer ID],customers[City],"")</f>
        <v>Cincinnati</v>
      </c>
      <c r="G879">
        <v>94</v>
      </c>
      <c r="H879" s="47" t="s">
        <v>40</v>
      </c>
      <c r="I879" s="48">
        <v>45226</v>
      </c>
      <c r="J879">
        <v>140</v>
      </c>
      <c r="K879">
        <v>3.6</v>
      </c>
      <c r="L879">
        <f>IF(MONTH(calls[[#This Row],[Date of Call]])&lt;=6,YEAR(calls[[#This Row],[Date of Call]]),YEAR(calls[[#This Row],[Date of Call]])+1)</f>
        <v>2024</v>
      </c>
      <c r="M879" t="str">
        <f>TEXT(calls[[#This Row],[Date of Call]],"DDDD")</f>
        <v>Friday</v>
      </c>
      <c r="N879" t="str" cm="1">
        <f t="array" ref="N87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79">
        <f>ROUND(calls[[#This Row],[Satisfaction Rating]],0)</f>
        <v>4</v>
      </c>
      <c r="P879" s="53">
        <f t="shared" si="13"/>
        <v>307</v>
      </c>
    </row>
    <row r="880" spans="2:16">
      <c r="B880" t="s">
        <v>960</v>
      </c>
      <c r="C880" t="s">
        <v>73</v>
      </c>
      <c r="D880" s="46" t="str" cm="1">
        <f t="array" ref="D880">_xlfn.XLOOKUP(C880,customers[Customer ID],customers[Gender],"")</f>
        <v>Female</v>
      </c>
      <c r="E880" s="46" cm="1">
        <f t="array" ref="E880">_xlfn.XLOOKUP(C880,customers[Customer ID],customers[Age],"")</f>
        <v>38</v>
      </c>
      <c r="F880" s="46" t="str" cm="1">
        <f t="array" ref="F880">_xlfn.XLOOKUP(C880,customers[Customer ID],customers[City],"")</f>
        <v>Columbus</v>
      </c>
      <c r="G880">
        <v>97</v>
      </c>
      <c r="H880" s="47" t="s">
        <v>36</v>
      </c>
      <c r="I880" s="48">
        <v>45226</v>
      </c>
      <c r="J880">
        <v>31</v>
      </c>
      <c r="K880">
        <v>2.2</v>
      </c>
      <c r="L880">
        <f>IF(MONTH(calls[[#This Row],[Date of Call]])&lt;=6,YEAR(calls[[#This Row],[Date of Call]]),YEAR(calls[[#This Row],[Date of Call]])+1)</f>
        <v>2024</v>
      </c>
      <c r="M880" t="str">
        <f>TEXT(calls[[#This Row],[Date of Call]],"DDDD")</f>
        <v>Friday</v>
      </c>
      <c r="N880" t="str" cm="1">
        <f t="array" ref="N8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80">
        <f>ROUND(calls[[#This Row],[Satisfaction Rating]],0)</f>
        <v>2</v>
      </c>
      <c r="P880" s="53">
        <f t="shared" si="13"/>
        <v>307</v>
      </c>
    </row>
    <row r="881" spans="2:16">
      <c r="B881" t="s">
        <v>961</v>
      </c>
      <c r="C881" t="s">
        <v>63</v>
      </c>
      <c r="D881" s="46" t="str" cm="1">
        <f t="array" ref="D881">_xlfn.XLOOKUP(C881,customers[Customer ID],customers[Gender],"")</f>
        <v>Male</v>
      </c>
      <c r="E881" s="46" cm="1">
        <f t="array" ref="E881">_xlfn.XLOOKUP(C881,customers[Customer ID],customers[Age],"")</f>
        <v>31</v>
      </c>
      <c r="F881" s="46" t="str" cm="1">
        <f t="array" ref="F881">_xlfn.XLOOKUP(C881,customers[Customer ID],customers[City],"")</f>
        <v>Cleveland</v>
      </c>
      <c r="G881">
        <v>72</v>
      </c>
      <c r="H881" s="47" t="s">
        <v>36</v>
      </c>
      <c r="I881" s="48">
        <v>45226</v>
      </c>
      <c r="J881">
        <v>108</v>
      </c>
      <c r="K881">
        <v>4.8</v>
      </c>
      <c r="L881">
        <f>IF(MONTH(calls[[#This Row],[Date of Call]])&lt;=6,YEAR(calls[[#This Row],[Date of Call]]),YEAR(calls[[#This Row],[Date of Call]])+1)</f>
        <v>2024</v>
      </c>
      <c r="M881" t="str">
        <f>TEXT(calls[[#This Row],[Date of Call]],"DDDD")</f>
        <v>Friday</v>
      </c>
      <c r="N881" t="str" cm="1">
        <f t="array" ref="N8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81">
        <f>ROUND(calls[[#This Row],[Satisfaction Rating]],0)</f>
        <v>5</v>
      </c>
      <c r="P881" s="53">
        <f t="shared" si="13"/>
        <v>307</v>
      </c>
    </row>
    <row r="882" spans="2:16">
      <c r="B882" t="s">
        <v>962</v>
      </c>
      <c r="C882" t="s">
        <v>67</v>
      </c>
      <c r="D882" s="46" t="str" cm="1">
        <f t="array" ref="D882">_xlfn.XLOOKUP(C882,customers[Customer ID],customers[Gender],"")</f>
        <v>Female</v>
      </c>
      <c r="E882" s="46" cm="1">
        <f t="array" ref="E882">_xlfn.XLOOKUP(C882,customers[Customer ID],customers[Age],"")</f>
        <v>37</v>
      </c>
      <c r="F882" s="46" t="str" cm="1">
        <f t="array" ref="F882">_xlfn.XLOOKUP(C882,customers[Customer ID],customers[City],"")</f>
        <v>Cleveland</v>
      </c>
      <c r="G882">
        <v>143</v>
      </c>
      <c r="H882" s="47" t="s">
        <v>39</v>
      </c>
      <c r="I882" s="48">
        <v>45227</v>
      </c>
      <c r="J882">
        <v>58</v>
      </c>
      <c r="K882">
        <v>4.3</v>
      </c>
      <c r="L882">
        <f>IF(MONTH(calls[[#This Row],[Date of Call]])&lt;=6,YEAR(calls[[#This Row],[Date of Call]]),YEAR(calls[[#This Row],[Date of Call]])+1)</f>
        <v>2024</v>
      </c>
      <c r="M882" t="str">
        <f>TEXT(calls[[#This Row],[Date of Call]],"DDDD")</f>
        <v>Saturday</v>
      </c>
      <c r="N882" t="str" cm="1">
        <f t="array" ref="N88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82">
        <f>ROUND(calls[[#This Row],[Satisfaction Rating]],0)</f>
        <v>4</v>
      </c>
      <c r="P882" s="53">
        <f t="shared" si="13"/>
        <v>307</v>
      </c>
    </row>
    <row r="883" spans="2:16">
      <c r="B883" t="s">
        <v>963</v>
      </c>
      <c r="C883" t="s">
        <v>67</v>
      </c>
      <c r="D883" s="46" t="str" cm="1">
        <f t="array" ref="D883">_xlfn.XLOOKUP(C883,customers[Customer ID],customers[Gender],"")</f>
        <v>Female</v>
      </c>
      <c r="E883" s="46" cm="1">
        <f t="array" ref="E883">_xlfn.XLOOKUP(C883,customers[Customer ID],customers[Age],"")</f>
        <v>37</v>
      </c>
      <c r="F883" s="46" t="str" cm="1">
        <f t="array" ref="F883">_xlfn.XLOOKUP(C883,customers[Customer ID],customers[City],"")</f>
        <v>Cleveland</v>
      </c>
      <c r="G883">
        <v>64</v>
      </c>
      <c r="H883" s="47" t="s">
        <v>36</v>
      </c>
      <c r="I883" s="48">
        <v>45227</v>
      </c>
      <c r="J883">
        <v>185</v>
      </c>
      <c r="K883">
        <v>2.2</v>
      </c>
      <c r="L883">
        <f>IF(MONTH(calls[[#This Row],[Date of Call]])&lt;=6,YEAR(calls[[#This Row],[Date of Call]]),YEAR(calls[[#This Row],[Date of Call]])+1)</f>
        <v>2024</v>
      </c>
      <c r="M883" t="str">
        <f>TEXT(calls[[#This Row],[Date of Call]],"DDDD")</f>
        <v>Saturday</v>
      </c>
      <c r="N883" t="str" cm="1">
        <f t="array" ref="N8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83">
        <f>ROUND(calls[[#This Row],[Satisfaction Rating]],0)</f>
        <v>2</v>
      </c>
      <c r="P883" s="53">
        <f t="shared" si="13"/>
        <v>307</v>
      </c>
    </row>
    <row r="884" spans="2:16">
      <c r="B884" t="s">
        <v>964</v>
      </c>
      <c r="C884" t="s">
        <v>67</v>
      </c>
      <c r="D884" s="46" t="str" cm="1">
        <f t="array" ref="D884">_xlfn.XLOOKUP(C884,customers[Customer ID],customers[Gender],"")</f>
        <v>Female</v>
      </c>
      <c r="E884" s="46" cm="1">
        <f t="array" ref="E884">_xlfn.XLOOKUP(C884,customers[Customer ID],customers[Age],"")</f>
        <v>37</v>
      </c>
      <c r="F884" s="46" t="str" cm="1">
        <f t="array" ref="F884">_xlfn.XLOOKUP(C884,customers[Customer ID],customers[City],"")</f>
        <v>Cleveland</v>
      </c>
      <c r="G884">
        <v>69</v>
      </c>
      <c r="H884" s="47" t="s">
        <v>36</v>
      </c>
      <c r="I884" s="48">
        <v>45227</v>
      </c>
      <c r="J884">
        <v>40</v>
      </c>
      <c r="K884">
        <v>4.8</v>
      </c>
      <c r="L884">
        <f>IF(MONTH(calls[[#This Row],[Date of Call]])&lt;=6,YEAR(calls[[#This Row],[Date of Call]]),YEAR(calls[[#This Row],[Date of Call]])+1)</f>
        <v>2024</v>
      </c>
      <c r="M884" t="str">
        <f>TEXT(calls[[#This Row],[Date of Call]],"DDDD")</f>
        <v>Saturday</v>
      </c>
      <c r="N884" t="str" cm="1">
        <f t="array" ref="N8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84">
        <f>ROUND(calls[[#This Row],[Satisfaction Rating]],0)</f>
        <v>5</v>
      </c>
      <c r="P884" s="53">
        <f t="shared" si="13"/>
        <v>307</v>
      </c>
    </row>
    <row r="885" spans="2:16">
      <c r="B885" t="s">
        <v>965</v>
      </c>
      <c r="C885" t="s">
        <v>67</v>
      </c>
      <c r="D885" s="46" t="str" cm="1">
        <f t="array" ref="D885">_xlfn.XLOOKUP(C885,customers[Customer ID],customers[Gender],"")</f>
        <v>Female</v>
      </c>
      <c r="E885" s="46" cm="1">
        <f t="array" ref="E885">_xlfn.XLOOKUP(C885,customers[Customer ID],customers[Age],"")</f>
        <v>37</v>
      </c>
      <c r="F885" s="46" t="str" cm="1">
        <f t="array" ref="F885">_xlfn.XLOOKUP(C885,customers[Customer ID],customers[City],"")</f>
        <v>Cleveland</v>
      </c>
      <c r="G885">
        <v>18</v>
      </c>
      <c r="H885" s="47" t="s">
        <v>38</v>
      </c>
      <c r="I885" s="48">
        <v>45227</v>
      </c>
      <c r="J885">
        <v>225</v>
      </c>
      <c r="K885">
        <v>2.6</v>
      </c>
      <c r="L885">
        <f>IF(MONTH(calls[[#This Row],[Date of Call]])&lt;=6,YEAR(calls[[#This Row],[Date of Call]]),YEAR(calls[[#This Row],[Date of Call]])+1)</f>
        <v>2024</v>
      </c>
      <c r="M885" t="str">
        <f>TEXT(calls[[#This Row],[Date of Call]],"DDDD")</f>
        <v>Saturday</v>
      </c>
      <c r="N885" t="str" cm="1">
        <f t="array" ref="N88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885">
        <f>ROUND(calls[[#This Row],[Satisfaction Rating]],0)</f>
        <v>3</v>
      </c>
      <c r="P885" s="53">
        <f t="shared" si="13"/>
        <v>307</v>
      </c>
    </row>
    <row r="886" spans="2:16">
      <c r="B886" t="s">
        <v>966</v>
      </c>
      <c r="C886" t="s">
        <v>73</v>
      </c>
      <c r="D886" s="46" t="str" cm="1">
        <f t="array" ref="D886">_xlfn.XLOOKUP(C886,customers[Customer ID],customers[Gender],"")</f>
        <v>Female</v>
      </c>
      <c r="E886" s="46" cm="1">
        <f t="array" ref="E886">_xlfn.XLOOKUP(C886,customers[Customer ID],customers[Age],"")</f>
        <v>38</v>
      </c>
      <c r="F886" s="46" t="str" cm="1">
        <f t="array" ref="F886">_xlfn.XLOOKUP(C886,customers[Customer ID],customers[City],"")</f>
        <v>Columbus</v>
      </c>
      <c r="G886">
        <v>100</v>
      </c>
      <c r="H886" s="47" t="s">
        <v>39</v>
      </c>
      <c r="I886" s="48">
        <v>45227</v>
      </c>
      <c r="J886">
        <v>150</v>
      </c>
      <c r="K886">
        <v>2.6</v>
      </c>
      <c r="L886">
        <f>IF(MONTH(calls[[#This Row],[Date of Call]])&lt;=6,YEAR(calls[[#This Row],[Date of Call]]),YEAR(calls[[#This Row],[Date of Call]])+1)</f>
        <v>2024</v>
      </c>
      <c r="M886" t="str">
        <f>TEXT(calls[[#This Row],[Date of Call]],"DDDD")</f>
        <v>Saturday</v>
      </c>
      <c r="N886" t="str" cm="1">
        <f t="array" ref="N88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86">
        <f>ROUND(calls[[#This Row],[Satisfaction Rating]],0)</f>
        <v>3</v>
      </c>
      <c r="P886" s="53">
        <f t="shared" si="13"/>
        <v>307</v>
      </c>
    </row>
    <row r="887" spans="2:16">
      <c r="B887" t="s">
        <v>967</v>
      </c>
      <c r="C887" t="s">
        <v>66</v>
      </c>
      <c r="D887" s="46" t="str" cm="1">
        <f t="array" ref="D887">_xlfn.XLOOKUP(C887,customers[Customer ID],customers[Gender],"")</f>
        <v>Female</v>
      </c>
      <c r="E887" s="46" cm="1">
        <f t="array" ref="E887">_xlfn.XLOOKUP(C887,customers[Customer ID],customers[Age],"")</f>
        <v>30</v>
      </c>
      <c r="F887" s="46" t="str" cm="1">
        <f t="array" ref="F887">_xlfn.XLOOKUP(C887,customers[Customer ID],customers[City],"")</f>
        <v>Cleveland</v>
      </c>
      <c r="G887">
        <v>110</v>
      </c>
      <c r="H887" s="47" t="s">
        <v>37</v>
      </c>
      <c r="I887" s="48">
        <v>45228</v>
      </c>
      <c r="J887">
        <v>88</v>
      </c>
      <c r="K887">
        <v>3.4</v>
      </c>
      <c r="L887">
        <f>IF(MONTH(calls[[#This Row],[Date of Call]])&lt;=6,YEAR(calls[[#This Row],[Date of Call]]),YEAR(calls[[#This Row],[Date of Call]])+1)</f>
        <v>2024</v>
      </c>
      <c r="M887" t="str">
        <f>TEXT(calls[[#This Row],[Date of Call]],"DDDD")</f>
        <v>Sunday</v>
      </c>
      <c r="N887" t="str" cm="1">
        <f t="array" ref="N8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87">
        <f>ROUND(calls[[#This Row],[Satisfaction Rating]],0)</f>
        <v>3</v>
      </c>
      <c r="P887" s="53">
        <f t="shared" si="13"/>
        <v>307</v>
      </c>
    </row>
    <row r="888" spans="2:16">
      <c r="B888" t="s">
        <v>968</v>
      </c>
      <c r="C888" t="s">
        <v>71</v>
      </c>
      <c r="D888" s="46" t="str" cm="1">
        <f t="array" ref="D888">_xlfn.XLOOKUP(C888,customers[Customer ID],customers[Gender],"")</f>
        <v>Male</v>
      </c>
      <c r="E888" s="46" cm="1">
        <f t="array" ref="E888">_xlfn.XLOOKUP(C888,customers[Customer ID],customers[Age],"")</f>
        <v>23</v>
      </c>
      <c r="F888" s="46" t="str" cm="1">
        <f t="array" ref="F888">_xlfn.XLOOKUP(C888,customers[Customer ID],customers[City],"")</f>
        <v>Columbus</v>
      </c>
      <c r="G888">
        <v>41</v>
      </c>
      <c r="H888" s="47" t="s">
        <v>40</v>
      </c>
      <c r="I888" s="48">
        <v>45228</v>
      </c>
      <c r="J888">
        <v>140</v>
      </c>
      <c r="K888">
        <v>3.7</v>
      </c>
      <c r="L888">
        <f>IF(MONTH(calls[[#This Row],[Date of Call]])&lt;=6,YEAR(calls[[#This Row],[Date of Call]]),YEAR(calls[[#This Row],[Date of Call]])+1)</f>
        <v>2024</v>
      </c>
      <c r="M888" t="str">
        <f>TEXT(calls[[#This Row],[Date of Call]],"DDDD")</f>
        <v>Sunday</v>
      </c>
      <c r="N888" t="str" cm="1">
        <f t="array" ref="N88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88">
        <f>ROUND(calls[[#This Row],[Satisfaction Rating]],0)</f>
        <v>4</v>
      </c>
      <c r="P888" s="53">
        <f t="shared" si="13"/>
        <v>307</v>
      </c>
    </row>
    <row r="889" spans="2:16">
      <c r="B889" t="s">
        <v>969</v>
      </c>
      <c r="C889" t="s">
        <v>66</v>
      </c>
      <c r="D889" s="46" t="str" cm="1">
        <f t="array" ref="D889">_xlfn.XLOOKUP(C889,customers[Customer ID],customers[Gender],"")</f>
        <v>Female</v>
      </c>
      <c r="E889" s="46" cm="1">
        <f t="array" ref="E889">_xlfn.XLOOKUP(C889,customers[Customer ID],customers[Age],"")</f>
        <v>30</v>
      </c>
      <c r="F889" s="46" t="str" cm="1">
        <f t="array" ref="F889">_xlfn.XLOOKUP(C889,customers[Customer ID],customers[City],"")</f>
        <v>Cleveland</v>
      </c>
      <c r="G889">
        <v>147</v>
      </c>
      <c r="H889" s="47" t="s">
        <v>37</v>
      </c>
      <c r="I889" s="48">
        <v>45228</v>
      </c>
      <c r="J889">
        <v>68</v>
      </c>
      <c r="K889">
        <v>2.1</v>
      </c>
      <c r="L889">
        <f>IF(MONTH(calls[[#This Row],[Date of Call]])&lt;=6,YEAR(calls[[#This Row],[Date of Call]]),YEAR(calls[[#This Row],[Date of Call]])+1)</f>
        <v>2024</v>
      </c>
      <c r="M889" t="str">
        <f>TEXT(calls[[#This Row],[Date of Call]],"DDDD")</f>
        <v>Sunday</v>
      </c>
      <c r="N889" t="str" cm="1">
        <f t="array" ref="N88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89">
        <f>ROUND(calls[[#This Row],[Satisfaction Rating]],0)</f>
        <v>2</v>
      </c>
      <c r="P889" s="53">
        <f t="shared" si="13"/>
        <v>307</v>
      </c>
    </row>
    <row r="890" spans="2:16">
      <c r="B890" t="s">
        <v>970</v>
      </c>
      <c r="C890" t="s">
        <v>60</v>
      </c>
      <c r="D890" s="46" t="str" cm="1">
        <f t="array" ref="D890">_xlfn.XLOOKUP(C890,customers[Customer ID],customers[Gender],"")</f>
        <v>Male</v>
      </c>
      <c r="E890" s="46" cm="1">
        <f t="array" ref="E890">_xlfn.XLOOKUP(C890,customers[Customer ID],customers[Age],"")</f>
        <v>36</v>
      </c>
      <c r="F890" s="46" t="str" cm="1">
        <f t="array" ref="F890">_xlfn.XLOOKUP(C890,customers[Customer ID],customers[City],"")</f>
        <v>Cincinnati</v>
      </c>
      <c r="G890">
        <v>31</v>
      </c>
      <c r="H890" s="47" t="s">
        <v>38</v>
      </c>
      <c r="I890" s="48">
        <v>45229</v>
      </c>
      <c r="J890">
        <v>105</v>
      </c>
      <c r="K890">
        <v>3.6</v>
      </c>
      <c r="L890">
        <f>IF(MONTH(calls[[#This Row],[Date of Call]])&lt;=6,YEAR(calls[[#This Row],[Date of Call]]),YEAR(calls[[#This Row],[Date of Call]])+1)</f>
        <v>2024</v>
      </c>
      <c r="M890" t="str">
        <f>TEXT(calls[[#This Row],[Date of Call]],"DDDD")</f>
        <v>Monday</v>
      </c>
      <c r="N890" t="str" cm="1">
        <f t="array" ref="N89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90">
        <f>ROUND(calls[[#This Row],[Satisfaction Rating]],0)</f>
        <v>4</v>
      </c>
      <c r="P890" s="53">
        <f t="shared" si="13"/>
        <v>307</v>
      </c>
    </row>
    <row r="891" spans="2:16">
      <c r="B891" t="s">
        <v>971</v>
      </c>
      <c r="C891" t="s">
        <v>69</v>
      </c>
      <c r="D891" s="46" t="str" cm="1">
        <f t="array" ref="D891">_xlfn.XLOOKUP(C891,customers[Customer ID],customers[Gender],"")</f>
        <v>Male</v>
      </c>
      <c r="E891" s="46" cm="1">
        <f t="array" ref="E891">_xlfn.XLOOKUP(C891,customers[Customer ID],customers[Age],"")</f>
        <v>41</v>
      </c>
      <c r="F891" s="46" t="str" cm="1">
        <f t="array" ref="F891">_xlfn.XLOOKUP(C891,customers[Customer ID],customers[City],"")</f>
        <v>Columbus</v>
      </c>
      <c r="G891">
        <v>142</v>
      </c>
      <c r="H891" s="47" t="s">
        <v>40</v>
      </c>
      <c r="I891" s="48">
        <v>45229</v>
      </c>
      <c r="J891">
        <v>40</v>
      </c>
      <c r="K891">
        <v>3.8</v>
      </c>
      <c r="L891">
        <f>IF(MONTH(calls[[#This Row],[Date of Call]])&lt;=6,YEAR(calls[[#This Row],[Date of Call]]),YEAR(calls[[#This Row],[Date of Call]])+1)</f>
        <v>2024</v>
      </c>
      <c r="M891" t="str">
        <f>TEXT(calls[[#This Row],[Date of Call]],"DDDD")</f>
        <v>Monday</v>
      </c>
      <c r="N891" t="str" cm="1">
        <f t="array" ref="N89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91">
        <f>ROUND(calls[[#This Row],[Satisfaction Rating]],0)</f>
        <v>4</v>
      </c>
      <c r="P891" s="53">
        <f t="shared" si="13"/>
        <v>307</v>
      </c>
    </row>
    <row r="892" spans="2:16">
      <c r="B892" t="s">
        <v>972</v>
      </c>
      <c r="C892" t="s">
        <v>72</v>
      </c>
      <c r="D892" s="46" t="str" cm="1">
        <f t="array" ref="D892">_xlfn.XLOOKUP(C892,customers[Customer ID],customers[Gender],"")</f>
        <v>Female</v>
      </c>
      <c r="E892" s="46" cm="1">
        <f t="array" ref="E892">_xlfn.XLOOKUP(C892,customers[Customer ID],customers[Age],"")</f>
        <v>25</v>
      </c>
      <c r="F892" s="46" t="str" cm="1">
        <f t="array" ref="F892">_xlfn.XLOOKUP(C892,customers[Customer ID],customers[City],"")</f>
        <v>Columbus</v>
      </c>
      <c r="G892">
        <v>61</v>
      </c>
      <c r="H892" s="47" t="s">
        <v>40</v>
      </c>
      <c r="I892" s="48">
        <v>45229</v>
      </c>
      <c r="J892">
        <v>82</v>
      </c>
      <c r="K892">
        <v>3.1</v>
      </c>
      <c r="L892">
        <f>IF(MONTH(calls[[#This Row],[Date of Call]])&lt;=6,YEAR(calls[[#This Row],[Date of Call]]),YEAR(calls[[#This Row],[Date of Call]])+1)</f>
        <v>2024</v>
      </c>
      <c r="M892" t="str">
        <f>TEXT(calls[[#This Row],[Date of Call]],"DDDD")</f>
        <v>Monday</v>
      </c>
      <c r="N892" t="str" cm="1">
        <f t="array" ref="N89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92">
        <f>ROUND(calls[[#This Row],[Satisfaction Rating]],0)</f>
        <v>3</v>
      </c>
      <c r="P892" s="53">
        <f t="shared" si="13"/>
        <v>307</v>
      </c>
    </row>
    <row r="893" spans="2:16">
      <c r="B893" t="s">
        <v>973</v>
      </c>
      <c r="C893" t="s">
        <v>59</v>
      </c>
      <c r="D893" s="46" t="str" cm="1">
        <f t="array" ref="D893">_xlfn.XLOOKUP(C893,customers[Customer ID],customers[Gender],"")</f>
        <v>Male</v>
      </c>
      <c r="E893" s="46" cm="1">
        <f t="array" ref="E893">_xlfn.XLOOKUP(C893,customers[Customer ID],customers[Age],"")</f>
        <v>26</v>
      </c>
      <c r="F893" s="46" t="str" cm="1">
        <f t="array" ref="F893">_xlfn.XLOOKUP(C893,customers[Customer ID],customers[City],"")</f>
        <v>Cincinnati</v>
      </c>
      <c r="G893">
        <v>86</v>
      </c>
      <c r="H893" s="47" t="s">
        <v>38</v>
      </c>
      <c r="I893" s="48">
        <v>45230</v>
      </c>
      <c r="J893">
        <v>90</v>
      </c>
      <c r="K893">
        <v>4.4</v>
      </c>
      <c r="L893">
        <f>IF(MONTH(calls[[#This Row],[Date of Call]])&lt;=6,YEAR(calls[[#This Row],[Date of Call]]),YEAR(calls[[#This Row],[Date of Call]])+1)</f>
        <v>2024</v>
      </c>
      <c r="M893" t="str">
        <f>TEXT(calls[[#This Row],[Date of Call]],"DDDD")</f>
        <v>Tuesday</v>
      </c>
      <c r="N893" t="str" cm="1">
        <f t="array" ref="N8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93">
        <f>ROUND(calls[[#This Row],[Satisfaction Rating]],0)</f>
        <v>4</v>
      </c>
      <c r="P893" s="53">
        <f t="shared" si="13"/>
        <v>307</v>
      </c>
    </row>
    <row r="894" spans="2:16">
      <c r="B894" t="s">
        <v>974</v>
      </c>
      <c r="C894" t="s">
        <v>70</v>
      </c>
      <c r="D894" s="46" t="str" cm="1">
        <f t="array" ref="D894">_xlfn.XLOOKUP(C894,customers[Customer ID],customers[Gender],"")</f>
        <v>Male</v>
      </c>
      <c r="E894" s="46" cm="1">
        <f t="array" ref="E894">_xlfn.XLOOKUP(C894,customers[Customer ID],customers[Age],"")</f>
        <v>37</v>
      </c>
      <c r="F894" s="46" t="str" cm="1">
        <f t="array" ref="F894">_xlfn.XLOOKUP(C894,customers[Customer ID],customers[City],"")</f>
        <v>Columbus</v>
      </c>
      <c r="G894">
        <v>165</v>
      </c>
      <c r="H894" s="47" t="s">
        <v>39</v>
      </c>
      <c r="I894" s="48">
        <v>45231</v>
      </c>
      <c r="J894">
        <v>66</v>
      </c>
      <c r="K894">
        <v>4.8</v>
      </c>
      <c r="L894">
        <f>IF(MONTH(calls[[#This Row],[Date of Call]])&lt;=6,YEAR(calls[[#This Row],[Date of Call]]),YEAR(calls[[#This Row],[Date of Call]])+1)</f>
        <v>2024</v>
      </c>
      <c r="M894" t="str">
        <f>TEXT(calls[[#This Row],[Date of Call]],"DDDD")</f>
        <v>Wednesday</v>
      </c>
      <c r="N894" t="str" cm="1">
        <f t="array" ref="N89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894">
        <f>ROUND(calls[[#This Row],[Satisfaction Rating]],0)</f>
        <v>5</v>
      </c>
      <c r="P894" s="53">
        <f t="shared" si="13"/>
        <v>307</v>
      </c>
    </row>
    <row r="895" spans="2:16">
      <c r="B895" t="s">
        <v>975</v>
      </c>
      <c r="C895" t="s">
        <v>65</v>
      </c>
      <c r="D895" s="46" t="str" cm="1">
        <f t="array" ref="D895">_xlfn.XLOOKUP(C895,customers[Customer ID],customers[Gender],"")</f>
        <v>Female</v>
      </c>
      <c r="E895" s="46" cm="1">
        <f t="array" ref="E895">_xlfn.XLOOKUP(C895,customers[Customer ID],customers[Age],"")</f>
        <v>42</v>
      </c>
      <c r="F895" s="46" t="str" cm="1">
        <f t="array" ref="F895">_xlfn.XLOOKUP(C895,customers[Customer ID],customers[City],"")</f>
        <v>Cleveland</v>
      </c>
      <c r="G895">
        <v>62</v>
      </c>
      <c r="H895" s="47" t="s">
        <v>37</v>
      </c>
      <c r="I895" s="48">
        <v>45231</v>
      </c>
      <c r="J895">
        <v>78</v>
      </c>
      <c r="K895">
        <v>3.5</v>
      </c>
      <c r="L895">
        <f>IF(MONTH(calls[[#This Row],[Date of Call]])&lt;=6,YEAR(calls[[#This Row],[Date of Call]]),YEAR(calls[[#This Row],[Date of Call]])+1)</f>
        <v>2024</v>
      </c>
      <c r="M895" t="str">
        <f>TEXT(calls[[#This Row],[Date of Call]],"DDDD")</f>
        <v>Wednesday</v>
      </c>
      <c r="N895" t="str" cm="1">
        <f t="array" ref="N89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95">
        <f>ROUND(calls[[#This Row],[Satisfaction Rating]],0)</f>
        <v>4</v>
      </c>
      <c r="P895" s="53">
        <f t="shared" si="13"/>
        <v>307</v>
      </c>
    </row>
    <row r="896" spans="2:16">
      <c r="B896" t="s">
        <v>976</v>
      </c>
      <c r="C896" t="s">
        <v>73</v>
      </c>
      <c r="D896" s="46" t="str" cm="1">
        <f t="array" ref="D896">_xlfn.XLOOKUP(C896,customers[Customer ID],customers[Gender],"")</f>
        <v>Female</v>
      </c>
      <c r="E896" s="46" cm="1">
        <f t="array" ref="E896">_xlfn.XLOOKUP(C896,customers[Customer ID],customers[Age],"")</f>
        <v>38</v>
      </c>
      <c r="F896" s="46" t="str" cm="1">
        <f t="array" ref="F896">_xlfn.XLOOKUP(C896,customers[Customer ID],customers[City],"")</f>
        <v>Columbus</v>
      </c>
      <c r="G896">
        <v>103</v>
      </c>
      <c r="H896" s="47" t="s">
        <v>39</v>
      </c>
      <c r="I896" s="48">
        <v>45232</v>
      </c>
      <c r="J896">
        <v>66</v>
      </c>
      <c r="K896">
        <v>4.4</v>
      </c>
      <c r="L896">
        <f>IF(MONTH(calls[[#This Row],[Date of Call]])&lt;=6,YEAR(calls[[#This Row],[Date of Call]]),YEAR(calls[[#This Row],[Date of Call]])+1)</f>
        <v>2024</v>
      </c>
      <c r="M896" t="str">
        <f>TEXT(calls[[#This Row],[Date of Call]],"DDDD")</f>
        <v>Thursday</v>
      </c>
      <c r="N896" t="str" cm="1">
        <f t="array" ref="N89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96">
        <f>ROUND(calls[[#This Row],[Satisfaction Rating]],0)</f>
        <v>4</v>
      </c>
      <c r="P896" s="53">
        <f t="shared" si="13"/>
        <v>307</v>
      </c>
    </row>
    <row r="897" spans="2:16">
      <c r="B897" t="s">
        <v>977</v>
      </c>
      <c r="C897" t="s">
        <v>69</v>
      </c>
      <c r="D897" s="46" t="str" cm="1">
        <f t="array" ref="D897">_xlfn.XLOOKUP(C897,customers[Customer ID],customers[Gender],"")</f>
        <v>Male</v>
      </c>
      <c r="E897" s="46" cm="1">
        <f t="array" ref="E897">_xlfn.XLOOKUP(C897,customers[Customer ID],customers[Age],"")</f>
        <v>41</v>
      </c>
      <c r="F897" s="46" t="str" cm="1">
        <f t="array" ref="F897">_xlfn.XLOOKUP(C897,customers[Customer ID],customers[City],"")</f>
        <v>Columbus</v>
      </c>
      <c r="G897">
        <v>56</v>
      </c>
      <c r="H897" s="47" t="s">
        <v>38</v>
      </c>
      <c r="I897" s="48">
        <v>45233</v>
      </c>
      <c r="J897">
        <v>160</v>
      </c>
      <c r="K897">
        <v>3.8</v>
      </c>
      <c r="L897">
        <f>IF(MONTH(calls[[#This Row],[Date of Call]])&lt;=6,YEAR(calls[[#This Row],[Date of Call]]),YEAR(calls[[#This Row],[Date of Call]])+1)</f>
        <v>2024</v>
      </c>
      <c r="M897" t="str">
        <f>TEXT(calls[[#This Row],[Date of Call]],"DDDD")</f>
        <v>Friday</v>
      </c>
      <c r="N897" t="str" cm="1">
        <f t="array" ref="N89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897">
        <f>ROUND(calls[[#This Row],[Satisfaction Rating]],0)</f>
        <v>4</v>
      </c>
      <c r="P897" s="53">
        <f t="shared" si="13"/>
        <v>307</v>
      </c>
    </row>
    <row r="898" spans="2:16">
      <c r="B898" t="s">
        <v>978</v>
      </c>
      <c r="C898" t="s">
        <v>62</v>
      </c>
      <c r="D898" s="46" t="str" cm="1">
        <f t="array" ref="D898">_xlfn.XLOOKUP(C898,customers[Customer ID],customers[Gender],"")</f>
        <v>Female</v>
      </c>
      <c r="E898" s="46" cm="1">
        <f t="array" ref="E898">_xlfn.XLOOKUP(C898,customers[Customer ID],customers[Age],"")</f>
        <v>28</v>
      </c>
      <c r="F898" s="46" t="str" cm="1">
        <f t="array" ref="F898">_xlfn.XLOOKUP(C898,customers[Customer ID],customers[City],"")</f>
        <v>Cincinnati</v>
      </c>
      <c r="G898">
        <v>114</v>
      </c>
      <c r="H898" s="47" t="s">
        <v>40</v>
      </c>
      <c r="I898" s="48">
        <v>45234</v>
      </c>
      <c r="J898">
        <v>144</v>
      </c>
      <c r="K898">
        <v>3.8</v>
      </c>
      <c r="L898">
        <f>IF(MONTH(calls[[#This Row],[Date of Call]])&lt;=6,YEAR(calls[[#This Row],[Date of Call]]),YEAR(calls[[#This Row],[Date of Call]])+1)</f>
        <v>2024</v>
      </c>
      <c r="M898" t="str">
        <f>TEXT(calls[[#This Row],[Date of Call]],"DDDD")</f>
        <v>Saturday</v>
      </c>
      <c r="N898" t="str" cm="1">
        <f t="array" ref="N8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98">
        <f>ROUND(calls[[#This Row],[Satisfaction Rating]],0)</f>
        <v>4</v>
      </c>
      <c r="P898" s="53">
        <f t="shared" si="13"/>
        <v>307</v>
      </c>
    </row>
    <row r="899" spans="2:16">
      <c r="B899" t="s">
        <v>979</v>
      </c>
      <c r="C899" t="s">
        <v>69</v>
      </c>
      <c r="D899" s="46" t="str" cm="1">
        <f t="array" ref="D899">_xlfn.XLOOKUP(C899,customers[Customer ID],customers[Gender],"")</f>
        <v>Male</v>
      </c>
      <c r="E899" s="46" cm="1">
        <f t="array" ref="E899">_xlfn.XLOOKUP(C899,customers[Customer ID],customers[Age],"")</f>
        <v>41</v>
      </c>
      <c r="F899" s="46" t="str" cm="1">
        <f t="array" ref="F899">_xlfn.XLOOKUP(C899,customers[Customer ID],customers[City],"")</f>
        <v>Columbus</v>
      </c>
      <c r="G899">
        <v>112</v>
      </c>
      <c r="H899" s="47" t="s">
        <v>36</v>
      </c>
      <c r="I899" s="48">
        <v>45234</v>
      </c>
      <c r="J899">
        <v>200</v>
      </c>
      <c r="K899">
        <v>4.6</v>
      </c>
      <c r="L899">
        <f>IF(MONTH(calls[[#This Row],[Date of Call]])&lt;=6,YEAR(calls[[#This Row],[Date of Call]]),YEAR(calls[[#This Row],[Date of Call]])+1)</f>
        <v>2024</v>
      </c>
      <c r="M899" t="str">
        <f>TEXT(calls[[#This Row],[Date of Call]],"DDDD")</f>
        <v>Saturday</v>
      </c>
      <c r="N899" t="str" cm="1">
        <f t="array" ref="N89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899">
        <f>ROUND(calls[[#This Row],[Satisfaction Rating]],0)</f>
        <v>5</v>
      </c>
      <c r="P899" s="53">
        <f t="shared" si="13"/>
        <v>307</v>
      </c>
    </row>
    <row r="900" spans="2:16">
      <c r="B900" t="s">
        <v>980</v>
      </c>
      <c r="C900" t="s">
        <v>64</v>
      </c>
      <c r="D900" s="46" t="str" cm="1">
        <f t="array" ref="D900">_xlfn.XLOOKUP(C900,customers[Customer ID],customers[Gender],"")</f>
        <v>Female</v>
      </c>
      <c r="E900" s="46" cm="1">
        <f t="array" ref="E900">_xlfn.XLOOKUP(C900,customers[Customer ID],customers[Age],"")</f>
        <v>22</v>
      </c>
      <c r="F900" s="46" t="str" cm="1">
        <f t="array" ref="F900">_xlfn.XLOOKUP(C900,customers[Customer ID],customers[City],"")</f>
        <v>Cleveland</v>
      </c>
      <c r="G900">
        <v>52</v>
      </c>
      <c r="H900" s="47" t="s">
        <v>37</v>
      </c>
      <c r="I900" s="48">
        <v>45236</v>
      </c>
      <c r="J900">
        <v>220</v>
      </c>
      <c r="K900">
        <v>5</v>
      </c>
      <c r="L900">
        <f>IF(MONTH(calls[[#This Row],[Date of Call]])&lt;=6,YEAR(calls[[#This Row],[Date of Call]]),YEAR(calls[[#This Row],[Date of Call]])+1)</f>
        <v>2024</v>
      </c>
      <c r="M900" t="str">
        <f>TEXT(calls[[#This Row],[Date of Call]],"DDDD")</f>
        <v>Monday</v>
      </c>
      <c r="N900" t="str" cm="1">
        <f t="array" ref="N90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00">
        <f>ROUND(calls[[#This Row],[Satisfaction Rating]],0)</f>
        <v>5</v>
      </c>
      <c r="P900" s="53">
        <f t="shared" ref="P900:P963" si="14">COUNTIF(O:O,5)</f>
        <v>307</v>
      </c>
    </row>
    <row r="901" spans="2:16">
      <c r="B901" t="s">
        <v>981</v>
      </c>
      <c r="C901" t="s">
        <v>73</v>
      </c>
      <c r="D901" s="46" t="str" cm="1">
        <f t="array" ref="D901">_xlfn.XLOOKUP(C901,customers[Customer ID],customers[Gender],"")</f>
        <v>Female</v>
      </c>
      <c r="E901" s="46" cm="1">
        <f t="array" ref="E901">_xlfn.XLOOKUP(C901,customers[Customer ID],customers[Age],"")</f>
        <v>38</v>
      </c>
      <c r="F901" s="46" t="str" cm="1">
        <f t="array" ref="F901">_xlfn.XLOOKUP(C901,customers[Customer ID],customers[City],"")</f>
        <v>Columbus</v>
      </c>
      <c r="G901">
        <v>105</v>
      </c>
      <c r="H901" s="47" t="s">
        <v>39</v>
      </c>
      <c r="I901" s="48">
        <v>45237</v>
      </c>
      <c r="J901">
        <v>112</v>
      </c>
      <c r="K901">
        <v>3.2</v>
      </c>
      <c r="L901">
        <f>IF(MONTH(calls[[#This Row],[Date of Call]])&lt;=6,YEAR(calls[[#This Row],[Date of Call]]),YEAR(calls[[#This Row],[Date of Call]])+1)</f>
        <v>2024</v>
      </c>
      <c r="M901" t="str">
        <f>TEXT(calls[[#This Row],[Date of Call]],"DDDD")</f>
        <v>Tuesday</v>
      </c>
      <c r="N901" t="str" cm="1">
        <f t="array" ref="N9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01">
        <f>ROUND(calls[[#This Row],[Satisfaction Rating]],0)</f>
        <v>3</v>
      </c>
      <c r="P901" s="53">
        <f t="shared" si="14"/>
        <v>307</v>
      </c>
    </row>
    <row r="902" spans="2:16">
      <c r="B902" t="s">
        <v>982</v>
      </c>
      <c r="C902" t="s">
        <v>70</v>
      </c>
      <c r="D902" s="46" t="str" cm="1">
        <f t="array" ref="D902">_xlfn.XLOOKUP(C902,customers[Customer ID],customers[Gender],"")</f>
        <v>Male</v>
      </c>
      <c r="E902" s="46" cm="1">
        <f t="array" ref="E902">_xlfn.XLOOKUP(C902,customers[Customer ID],customers[Age],"")</f>
        <v>37</v>
      </c>
      <c r="F902" s="46" t="str" cm="1">
        <f t="array" ref="F902">_xlfn.XLOOKUP(C902,customers[Customer ID],customers[City],"")</f>
        <v>Columbus</v>
      </c>
      <c r="G902">
        <v>91</v>
      </c>
      <c r="H902" s="47" t="s">
        <v>38</v>
      </c>
      <c r="I902" s="48">
        <v>45237</v>
      </c>
      <c r="J902">
        <v>110</v>
      </c>
      <c r="K902">
        <v>3.7</v>
      </c>
      <c r="L902">
        <f>IF(MONTH(calls[[#This Row],[Date of Call]])&lt;=6,YEAR(calls[[#This Row],[Date of Call]]),YEAR(calls[[#This Row],[Date of Call]])+1)</f>
        <v>2024</v>
      </c>
      <c r="M902" t="str">
        <f>TEXT(calls[[#This Row],[Date of Call]],"DDDD")</f>
        <v>Tuesday</v>
      </c>
      <c r="N902" t="str" cm="1">
        <f t="array" ref="N9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02">
        <f>ROUND(calls[[#This Row],[Satisfaction Rating]],0)</f>
        <v>4</v>
      </c>
      <c r="P902" s="53">
        <f t="shared" si="14"/>
        <v>307</v>
      </c>
    </row>
    <row r="903" spans="2:16">
      <c r="B903" t="s">
        <v>983</v>
      </c>
      <c r="C903" t="s">
        <v>68</v>
      </c>
      <c r="D903" s="46" t="str" cm="1">
        <f t="array" ref="D903">_xlfn.XLOOKUP(C903,customers[Customer ID],customers[Gender],"")</f>
        <v>Female</v>
      </c>
      <c r="E903" s="46" cm="1">
        <f t="array" ref="E903">_xlfn.XLOOKUP(C903,customers[Customer ID],customers[Age],"")</f>
        <v>43</v>
      </c>
      <c r="F903" s="46" t="str" cm="1">
        <f t="array" ref="F903">_xlfn.XLOOKUP(C903,customers[Customer ID],customers[City],"")</f>
        <v>Cleveland</v>
      </c>
      <c r="G903">
        <v>74</v>
      </c>
      <c r="H903" s="47" t="s">
        <v>40</v>
      </c>
      <c r="I903" s="48">
        <v>45238</v>
      </c>
      <c r="J903">
        <v>160</v>
      </c>
      <c r="K903">
        <v>2.7</v>
      </c>
      <c r="L903">
        <f>IF(MONTH(calls[[#This Row],[Date of Call]])&lt;=6,YEAR(calls[[#This Row],[Date of Call]]),YEAR(calls[[#This Row],[Date of Call]])+1)</f>
        <v>2024</v>
      </c>
      <c r="M903" t="str">
        <f>TEXT(calls[[#This Row],[Date of Call]],"DDDD")</f>
        <v>Wednesday</v>
      </c>
      <c r="N903" t="str" cm="1">
        <f t="array" ref="N9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03">
        <f>ROUND(calls[[#This Row],[Satisfaction Rating]],0)</f>
        <v>3</v>
      </c>
      <c r="P903" s="53">
        <f t="shared" si="14"/>
        <v>307</v>
      </c>
    </row>
    <row r="904" spans="2:16">
      <c r="B904" t="s">
        <v>984</v>
      </c>
      <c r="C904" t="s">
        <v>68</v>
      </c>
      <c r="D904" s="46" t="str" cm="1">
        <f t="array" ref="D904">_xlfn.XLOOKUP(C904,customers[Customer ID],customers[Gender],"")</f>
        <v>Female</v>
      </c>
      <c r="E904" s="46" cm="1">
        <f t="array" ref="E904">_xlfn.XLOOKUP(C904,customers[Customer ID],customers[Age],"")</f>
        <v>43</v>
      </c>
      <c r="F904" s="46" t="str" cm="1">
        <f t="array" ref="F904">_xlfn.XLOOKUP(C904,customers[Customer ID],customers[City],"")</f>
        <v>Cleveland</v>
      </c>
      <c r="G904">
        <v>30</v>
      </c>
      <c r="H904" s="47" t="s">
        <v>38</v>
      </c>
      <c r="I904" s="48">
        <v>45238</v>
      </c>
      <c r="J904">
        <v>84</v>
      </c>
      <c r="K904">
        <v>4</v>
      </c>
      <c r="L904">
        <f>IF(MONTH(calls[[#This Row],[Date of Call]])&lt;=6,YEAR(calls[[#This Row],[Date of Call]]),YEAR(calls[[#This Row],[Date of Call]])+1)</f>
        <v>2024</v>
      </c>
      <c r="M904" t="str">
        <f>TEXT(calls[[#This Row],[Date of Call]],"DDDD")</f>
        <v>Wednesday</v>
      </c>
      <c r="N904" t="str" cm="1">
        <f t="array" ref="N904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904">
        <f>ROUND(calls[[#This Row],[Satisfaction Rating]],0)</f>
        <v>4</v>
      </c>
      <c r="P904" s="53">
        <f t="shared" si="14"/>
        <v>307</v>
      </c>
    </row>
    <row r="905" spans="2:16">
      <c r="B905" t="s">
        <v>985</v>
      </c>
      <c r="C905" t="s">
        <v>70</v>
      </c>
      <c r="D905" s="46" t="str" cm="1">
        <f t="array" ref="D905">_xlfn.XLOOKUP(C905,customers[Customer ID],customers[Gender],"")</f>
        <v>Male</v>
      </c>
      <c r="E905" s="46" cm="1">
        <f t="array" ref="E905">_xlfn.XLOOKUP(C905,customers[Customer ID],customers[Age],"")</f>
        <v>37</v>
      </c>
      <c r="F905" s="46" t="str" cm="1">
        <f t="array" ref="F905">_xlfn.XLOOKUP(C905,customers[Customer ID],customers[City],"")</f>
        <v>Columbus</v>
      </c>
      <c r="G905">
        <v>56</v>
      </c>
      <c r="H905" s="47" t="s">
        <v>37</v>
      </c>
      <c r="I905" s="48">
        <v>45238</v>
      </c>
      <c r="J905">
        <v>124</v>
      </c>
      <c r="K905">
        <v>2.6</v>
      </c>
      <c r="L905">
        <f>IF(MONTH(calls[[#This Row],[Date of Call]])&lt;=6,YEAR(calls[[#This Row],[Date of Call]]),YEAR(calls[[#This Row],[Date of Call]])+1)</f>
        <v>2024</v>
      </c>
      <c r="M905" t="str">
        <f>TEXT(calls[[#This Row],[Date of Call]],"DDDD")</f>
        <v>Wednesday</v>
      </c>
      <c r="N905" t="str" cm="1">
        <f t="array" ref="N90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05">
        <f>ROUND(calls[[#This Row],[Satisfaction Rating]],0)</f>
        <v>3</v>
      </c>
      <c r="P905" s="53">
        <f t="shared" si="14"/>
        <v>307</v>
      </c>
    </row>
    <row r="906" spans="2:16">
      <c r="B906" t="s">
        <v>986</v>
      </c>
      <c r="C906" t="s">
        <v>68</v>
      </c>
      <c r="D906" s="46" t="str" cm="1">
        <f t="array" ref="D906">_xlfn.XLOOKUP(C906,customers[Customer ID],customers[Gender],"")</f>
        <v>Female</v>
      </c>
      <c r="E906" s="46" cm="1">
        <f t="array" ref="E906">_xlfn.XLOOKUP(C906,customers[Customer ID],customers[Age],"")</f>
        <v>43</v>
      </c>
      <c r="F906" s="46" t="str" cm="1">
        <f t="array" ref="F906">_xlfn.XLOOKUP(C906,customers[Customer ID],customers[City],"")</f>
        <v>Cleveland</v>
      </c>
      <c r="G906">
        <v>151</v>
      </c>
      <c r="H906" s="47" t="s">
        <v>36</v>
      </c>
      <c r="I906" s="48">
        <v>45238</v>
      </c>
      <c r="J906">
        <v>84</v>
      </c>
      <c r="K906">
        <v>4.6</v>
      </c>
      <c r="L906">
        <f>IF(MONTH(calls[[#This Row],[Date of Call]])&lt;=6,YEAR(calls[[#This Row],[Date of Call]]),YEAR(calls[[#This Row],[Date of Call]])+1)</f>
        <v>2024</v>
      </c>
      <c r="M906" t="str">
        <f>TEXT(calls[[#This Row],[Date of Call]],"DDDD")</f>
        <v>Wednesday</v>
      </c>
      <c r="N906" t="str" cm="1">
        <f t="array" ref="N90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06">
        <f>ROUND(calls[[#This Row],[Satisfaction Rating]],0)</f>
        <v>5</v>
      </c>
      <c r="P906" s="53">
        <f t="shared" si="14"/>
        <v>307</v>
      </c>
    </row>
    <row r="907" spans="2:16">
      <c r="B907" t="s">
        <v>987</v>
      </c>
      <c r="C907" t="s">
        <v>60</v>
      </c>
      <c r="D907" s="46" t="str" cm="1">
        <f t="array" ref="D907">_xlfn.XLOOKUP(C907,customers[Customer ID],customers[Gender],"")</f>
        <v>Male</v>
      </c>
      <c r="E907" s="46" cm="1">
        <f t="array" ref="E907">_xlfn.XLOOKUP(C907,customers[Customer ID],customers[Age],"")</f>
        <v>36</v>
      </c>
      <c r="F907" s="46" t="str" cm="1">
        <f t="array" ref="F907">_xlfn.XLOOKUP(C907,customers[Customer ID],customers[City],"")</f>
        <v>Cincinnati</v>
      </c>
      <c r="G907">
        <v>108</v>
      </c>
      <c r="H907" s="47" t="s">
        <v>39</v>
      </c>
      <c r="I907" s="48">
        <v>45239</v>
      </c>
      <c r="J907">
        <v>130</v>
      </c>
      <c r="K907">
        <v>2.7</v>
      </c>
      <c r="L907">
        <f>IF(MONTH(calls[[#This Row],[Date of Call]])&lt;=6,YEAR(calls[[#This Row],[Date of Call]]),YEAR(calls[[#This Row],[Date of Call]])+1)</f>
        <v>2024</v>
      </c>
      <c r="M907" t="str">
        <f>TEXT(calls[[#This Row],[Date of Call]],"DDDD")</f>
        <v>Thursday</v>
      </c>
      <c r="N907" t="str" cm="1">
        <f t="array" ref="N9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07">
        <f>ROUND(calls[[#This Row],[Satisfaction Rating]],0)</f>
        <v>3</v>
      </c>
      <c r="P907" s="53">
        <f t="shared" si="14"/>
        <v>307</v>
      </c>
    </row>
    <row r="908" spans="2:16">
      <c r="B908" t="s">
        <v>988</v>
      </c>
      <c r="C908" t="s">
        <v>62</v>
      </c>
      <c r="D908" s="46" t="str" cm="1">
        <f t="array" ref="D908">_xlfn.XLOOKUP(C908,customers[Customer ID],customers[Gender],"")</f>
        <v>Female</v>
      </c>
      <c r="E908" s="46" cm="1">
        <f t="array" ref="E908">_xlfn.XLOOKUP(C908,customers[Customer ID],customers[Age],"")</f>
        <v>28</v>
      </c>
      <c r="F908" s="46" t="str" cm="1">
        <f t="array" ref="F908">_xlfn.XLOOKUP(C908,customers[Customer ID],customers[City],"")</f>
        <v>Cincinnati</v>
      </c>
      <c r="G908">
        <v>124</v>
      </c>
      <c r="H908" s="47" t="s">
        <v>40</v>
      </c>
      <c r="I908" s="48">
        <v>45239</v>
      </c>
      <c r="J908">
        <v>215</v>
      </c>
      <c r="K908">
        <v>3.5</v>
      </c>
      <c r="L908">
        <f>IF(MONTH(calls[[#This Row],[Date of Call]])&lt;=6,YEAR(calls[[#This Row],[Date of Call]]),YEAR(calls[[#This Row],[Date of Call]])+1)</f>
        <v>2024</v>
      </c>
      <c r="M908" t="str">
        <f>TEXT(calls[[#This Row],[Date of Call]],"DDDD")</f>
        <v>Thursday</v>
      </c>
      <c r="N908" t="str" cm="1">
        <f t="array" ref="N90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08">
        <f>ROUND(calls[[#This Row],[Satisfaction Rating]],0)</f>
        <v>4</v>
      </c>
      <c r="P908" s="53">
        <f t="shared" si="14"/>
        <v>307</v>
      </c>
    </row>
    <row r="909" spans="2:16">
      <c r="B909" t="s">
        <v>989</v>
      </c>
      <c r="C909" t="s">
        <v>73</v>
      </c>
      <c r="D909" s="46" t="str" cm="1">
        <f t="array" ref="D909">_xlfn.XLOOKUP(C909,customers[Customer ID],customers[Gender],"")</f>
        <v>Female</v>
      </c>
      <c r="E909" s="46" cm="1">
        <f t="array" ref="E909">_xlfn.XLOOKUP(C909,customers[Customer ID],customers[Age],"")</f>
        <v>38</v>
      </c>
      <c r="F909" s="46" t="str" cm="1">
        <f t="array" ref="F909">_xlfn.XLOOKUP(C909,customers[Customer ID],customers[City],"")</f>
        <v>Columbus</v>
      </c>
      <c r="G909">
        <v>110</v>
      </c>
      <c r="H909" s="47" t="s">
        <v>37</v>
      </c>
      <c r="I909" s="48">
        <v>45240</v>
      </c>
      <c r="J909">
        <v>132</v>
      </c>
      <c r="K909">
        <v>3.6</v>
      </c>
      <c r="L909">
        <f>IF(MONTH(calls[[#This Row],[Date of Call]])&lt;=6,YEAR(calls[[#This Row],[Date of Call]]),YEAR(calls[[#This Row],[Date of Call]])+1)</f>
        <v>2024</v>
      </c>
      <c r="M909" t="str">
        <f>TEXT(calls[[#This Row],[Date of Call]],"DDDD")</f>
        <v>Friday</v>
      </c>
      <c r="N909" t="str" cm="1">
        <f t="array" ref="N9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09">
        <f>ROUND(calls[[#This Row],[Satisfaction Rating]],0)</f>
        <v>4</v>
      </c>
      <c r="P909" s="53">
        <f t="shared" si="14"/>
        <v>307</v>
      </c>
    </row>
    <row r="910" spans="2:16">
      <c r="B910" t="s">
        <v>990</v>
      </c>
      <c r="C910" t="s">
        <v>66</v>
      </c>
      <c r="D910" s="46" t="str" cm="1">
        <f t="array" ref="D910">_xlfn.XLOOKUP(C910,customers[Customer ID],customers[Gender],"")</f>
        <v>Female</v>
      </c>
      <c r="E910" s="46" cm="1">
        <f t="array" ref="E910">_xlfn.XLOOKUP(C910,customers[Customer ID],customers[Age],"")</f>
        <v>30</v>
      </c>
      <c r="F910" s="46" t="str" cm="1">
        <f t="array" ref="F910">_xlfn.XLOOKUP(C910,customers[Customer ID],customers[City],"")</f>
        <v>Cleveland</v>
      </c>
      <c r="G910">
        <v>89</v>
      </c>
      <c r="H910" s="47" t="s">
        <v>39</v>
      </c>
      <c r="I910" s="48">
        <v>45240</v>
      </c>
      <c r="J910">
        <v>88</v>
      </c>
      <c r="K910">
        <v>4.9</v>
      </c>
      <c r="L910">
        <f>IF(MONTH(calls[[#This Row],[Date of Call]])&lt;=6,YEAR(calls[[#This Row],[Date of Call]]),YEAR(calls[[#This Row],[Date of Call]])+1)</f>
        <v>2024</v>
      </c>
      <c r="M910" t="str">
        <f>TEXT(calls[[#This Row],[Date of Call]],"DDDD")</f>
        <v>Friday</v>
      </c>
      <c r="N910" t="str" cm="1">
        <f t="array" ref="N9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10">
        <f>ROUND(calls[[#This Row],[Satisfaction Rating]],0)</f>
        <v>5</v>
      </c>
      <c r="P910" s="53">
        <f t="shared" si="14"/>
        <v>307</v>
      </c>
    </row>
    <row r="911" spans="2:16">
      <c r="B911" t="s">
        <v>991</v>
      </c>
      <c r="C911" t="s">
        <v>59</v>
      </c>
      <c r="D911" s="46" t="str" cm="1">
        <f t="array" ref="D911">_xlfn.XLOOKUP(C911,customers[Customer ID],customers[Gender],"")</f>
        <v>Male</v>
      </c>
      <c r="E911" s="46" cm="1">
        <f t="array" ref="E911">_xlfn.XLOOKUP(C911,customers[Customer ID],customers[Age],"")</f>
        <v>26</v>
      </c>
      <c r="F911" s="46" t="str" cm="1">
        <f t="array" ref="F911">_xlfn.XLOOKUP(C911,customers[Customer ID],customers[City],"")</f>
        <v>Cincinnati</v>
      </c>
      <c r="G911">
        <v>95</v>
      </c>
      <c r="H911" s="47" t="s">
        <v>37</v>
      </c>
      <c r="I911" s="48">
        <v>45240</v>
      </c>
      <c r="J911">
        <v>140</v>
      </c>
      <c r="K911">
        <v>3.9</v>
      </c>
      <c r="L911">
        <f>IF(MONTH(calls[[#This Row],[Date of Call]])&lt;=6,YEAR(calls[[#This Row],[Date of Call]]),YEAR(calls[[#This Row],[Date of Call]])+1)</f>
        <v>2024</v>
      </c>
      <c r="M911" t="str">
        <f>TEXT(calls[[#This Row],[Date of Call]],"DDDD")</f>
        <v>Friday</v>
      </c>
      <c r="N911" t="str" cm="1">
        <f t="array" ref="N91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11">
        <f>ROUND(calls[[#This Row],[Satisfaction Rating]],0)</f>
        <v>4</v>
      </c>
      <c r="P911" s="53">
        <f t="shared" si="14"/>
        <v>307</v>
      </c>
    </row>
    <row r="912" spans="2:16">
      <c r="B912" t="s">
        <v>992</v>
      </c>
      <c r="C912" t="s">
        <v>68</v>
      </c>
      <c r="D912" s="46" t="str" cm="1">
        <f t="array" ref="D912">_xlfn.XLOOKUP(C912,customers[Customer ID],customers[Gender],"")</f>
        <v>Female</v>
      </c>
      <c r="E912" s="46" cm="1">
        <f t="array" ref="E912">_xlfn.XLOOKUP(C912,customers[Customer ID],customers[Age],"")</f>
        <v>43</v>
      </c>
      <c r="F912" s="46" t="str" cm="1">
        <f t="array" ref="F912">_xlfn.XLOOKUP(C912,customers[Customer ID],customers[City],"")</f>
        <v>Cleveland</v>
      </c>
      <c r="G912">
        <v>84</v>
      </c>
      <c r="H912" s="47" t="s">
        <v>39</v>
      </c>
      <c r="I912" s="48">
        <v>45241</v>
      </c>
      <c r="J912">
        <v>66</v>
      </c>
      <c r="K912">
        <v>4.7</v>
      </c>
      <c r="L912">
        <f>IF(MONTH(calls[[#This Row],[Date of Call]])&lt;=6,YEAR(calls[[#This Row],[Date of Call]]),YEAR(calls[[#This Row],[Date of Call]])+1)</f>
        <v>2024</v>
      </c>
      <c r="M912" t="str">
        <f>TEXT(calls[[#This Row],[Date of Call]],"DDDD")</f>
        <v>Saturday</v>
      </c>
      <c r="N912" t="str" cm="1">
        <f t="array" ref="N91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12">
        <f>ROUND(calls[[#This Row],[Satisfaction Rating]],0)</f>
        <v>5</v>
      </c>
      <c r="P912" s="53">
        <f t="shared" si="14"/>
        <v>307</v>
      </c>
    </row>
    <row r="913" spans="2:16">
      <c r="B913" t="s">
        <v>993</v>
      </c>
      <c r="C913" t="s">
        <v>63</v>
      </c>
      <c r="D913" s="46" t="str" cm="1">
        <f t="array" ref="D913">_xlfn.XLOOKUP(C913,customers[Customer ID],customers[Gender],"")</f>
        <v>Male</v>
      </c>
      <c r="E913" s="46" cm="1">
        <f t="array" ref="E913">_xlfn.XLOOKUP(C913,customers[Customer ID],customers[Age],"")</f>
        <v>31</v>
      </c>
      <c r="F913" s="46" t="str" cm="1">
        <f t="array" ref="F913">_xlfn.XLOOKUP(C913,customers[Customer ID],customers[City],"")</f>
        <v>Cleveland</v>
      </c>
      <c r="G913">
        <v>89</v>
      </c>
      <c r="H913" s="47" t="s">
        <v>40</v>
      </c>
      <c r="I913" s="48">
        <v>45241</v>
      </c>
      <c r="J913">
        <v>23</v>
      </c>
      <c r="K913">
        <v>4.5</v>
      </c>
      <c r="L913">
        <f>IF(MONTH(calls[[#This Row],[Date of Call]])&lt;=6,YEAR(calls[[#This Row],[Date of Call]]),YEAR(calls[[#This Row],[Date of Call]])+1)</f>
        <v>2024</v>
      </c>
      <c r="M913" t="str">
        <f>TEXT(calls[[#This Row],[Date of Call]],"DDDD")</f>
        <v>Saturday</v>
      </c>
      <c r="N913" t="str" cm="1">
        <f t="array" ref="N91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13">
        <f>ROUND(calls[[#This Row],[Satisfaction Rating]],0)</f>
        <v>5</v>
      </c>
      <c r="P913" s="53">
        <f t="shared" si="14"/>
        <v>307</v>
      </c>
    </row>
    <row r="914" spans="2:16">
      <c r="B914" t="s">
        <v>994</v>
      </c>
      <c r="C914" t="s">
        <v>66</v>
      </c>
      <c r="D914" s="46" t="str" cm="1">
        <f t="array" ref="D914">_xlfn.XLOOKUP(C914,customers[Customer ID],customers[Gender],"")</f>
        <v>Female</v>
      </c>
      <c r="E914" s="46" cm="1">
        <f t="array" ref="E914">_xlfn.XLOOKUP(C914,customers[Customer ID],customers[Age],"")</f>
        <v>30</v>
      </c>
      <c r="F914" s="46" t="str" cm="1">
        <f t="array" ref="F914">_xlfn.XLOOKUP(C914,customers[Customer ID],customers[City],"")</f>
        <v>Cleveland</v>
      </c>
      <c r="G914">
        <v>146</v>
      </c>
      <c r="H914" s="47" t="s">
        <v>40</v>
      </c>
      <c r="I914" s="48">
        <v>45242</v>
      </c>
      <c r="J914">
        <v>220</v>
      </c>
      <c r="K914">
        <v>4.5</v>
      </c>
      <c r="L914">
        <f>IF(MONTH(calls[[#This Row],[Date of Call]])&lt;=6,YEAR(calls[[#This Row],[Date of Call]]),YEAR(calls[[#This Row],[Date of Call]])+1)</f>
        <v>2024</v>
      </c>
      <c r="M914" t="str">
        <f>TEXT(calls[[#This Row],[Date of Call]],"DDDD")</f>
        <v>Sunday</v>
      </c>
      <c r="N914" t="str" cm="1">
        <f t="array" ref="N91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14">
        <f>ROUND(calls[[#This Row],[Satisfaction Rating]],0)</f>
        <v>5</v>
      </c>
      <c r="P914" s="53">
        <f t="shared" si="14"/>
        <v>307</v>
      </c>
    </row>
    <row r="915" spans="2:16">
      <c r="B915" t="s">
        <v>995</v>
      </c>
      <c r="C915" t="s">
        <v>67</v>
      </c>
      <c r="D915" s="46" t="str" cm="1">
        <f t="array" ref="D915">_xlfn.XLOOKUP(C915,customers[Customer ID],customers[Gender],"")</f>
        <v>Female</v>
      </c>
      <c r="E915" s="46" cm="1">
        <f t="array" ref="E915">_xlfn.XLOOKUP(C915,customers[Customer ID],customers[Age],"")</f>
        <v>37</v>
      </c>
      <c r="F915" s="46" t="str" cm="1">
        <f t="array" ref="F915">_xlfn.XLOOKUP(C915,customers[Customer ID],customers[City],"")</f>
        <v>Cleveland</v>
      </c>
      <c r="G915">
        <v>62</v>
      </c>
      <c r="H915" s="47" t="s">
        <v>38</v>
      </c>
      <c r="I915" s="48">
        <v>45243</v>
      </c>
      <c r="J915">
        <v>175</v>
      </c>
      <c r="K915">
        <v>4.4</v>
      </c>
      <c r="L915">
        <f>IF(MONTH(calls[[#This Row],[Date of Call]])&lt;=6,YEAR(calls[[#This Row],[Date of Call]]),YEAR(calls[[#This Row],[Date of Call]])+1)</f>
        <v>2024</v>
      </c>
      <c r="M915" t="str">
        <f>TEXT(calls[[#This Row],[Date of Call]],"DDDD")</f>
        <v>Monday</v>
      </c>
      <c r="N915" t="str" cm="1">
        <f t="array" ref="N91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15">
        <f>ROUND(calls[[#This Row],[Satisfaction Rating]],0)</f>
        <v>4</v>
      </c>
      <c r="P915" s="53">
        <f t="shared" si="14"/>
        <v>307</v>
      </c>
    </row>
    <row r="916" spans="2:16">
      <c r="B916" t="s">
        <v>996</v>
      </c>
      <c r="C916" t="s">
        <v>69</v>
      </c>
      <c r="D916" s="46" t="str" cm="1">
        <f t="array" ref="D916">_xlfn.XLOOKUP(C916,customers[Customer ID],customers[Gender],"")</f>
        <v>Male</v>
      </c>
      <c r="E916" s="46" cm="1">
        <f t="array" ref="E916">_xlfn.XLOOKUP(C916,customers[Customer ID],customers[Age],"")</f>
        <v>41</v>
      </c>
      <c r="F916" s="46" t="str" cm="1">
        <f t="array" ref="F916">_xlfn.XLOOKUP(C916,customers[Customer ID],customers[City],"")</f>
        <v>Columbus</v>
      </c>
      <c r="G916">
        <v>82</v>
      </c>
      <c r="H916" s="47" t="s">
        <v>40</v>
      </c>
      <c r="I916" s="48">
        <v>45243</v>
      </c>
      <c r="J916">
        <v>172</v>
      </c>
      <c r="K916">
        <v>4.1</v>
      </c>
      <c r="L916">
        <f>IF(MONTH(calls[[#This Row],[Date of Call]])&lt;=6,YEAR(calls[[#This Row],[Date of Call]]),YEAR(calls[[#This Row],[Date of Call]])+1)</f>
        <v>2024</v>
      </c>
      <c r="M916" t="str">
        <f>TEXT(calls[[#This Row],[Date of Call]],"DDDD")</f>
        <v>Monday</v>
      </c>
      <c r="N916" t="str" cm="1">
        <f t="array" ref="N91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16">
        <f>ROUND(calls[[#This Row],[Satisfaction Rating]],0)</f>
        <v>4</v>
      </c>
      <c r="P916" s="53">
        <f t="shared" si="14"/>
        <v>307</v>
      </c>
    </row>
    <row r="917" spans="2:16">
      <c r="B917" t="s">
        <v>997</v>
      </c>
      <c r="C917" t="s">
        <v>72</v>
      </c>
      <c r="D917" s="46" t="str" cm="1">
        <f t="array" ref="D917">_xlfn.XLOOKUP(C917,customers[Customer ID],customers[Gender],"")</f>
        <v>Female</v>
      </c>
      <c r="E917" s="46" cm="1">
        <f t="array" ref="E917">_xlfn.XLOOKUP(C917,customers[Customer ID],customers[Age],"")</f>
        <v>25</v>
      </c>
      <c r="F917" s="46" t="str" cm="1">
        <f t="array" ref="F917">_xlfn.XLOOKUP(C917,customers[Customer ID],customers[City],"")</f>
        <v>Columbus</v>
      </c>
      <c r="G917">
        <v>91</v>
      </c>
      <c r="H917" s="47" t="s">
        <v>36</v>
      </c>
      <c r="I917" s="48">
        <v>45243</v>
      </c>
      <c r="J917">
        <v>108</v>
      </c>
      <c r="K917">
        <v>3.8</v>
      </c>
      <c r="L917">
        <f>IF(MONTH(calls[[#This Row],[Date of Call]])&lt;=6,YEAR(calls[[#This Row],[Date of Call]]),YEAR(calls[[#This Row],[Date of Call]])+1)</f>
        <v>2024</v>
      </c>
      <c r="M917" t="str">
        <f>TEXT(calls[[#This Row],[Date of Call]],"DDDD")</f>
        <v>Monday</v>
      </c>
      <c r="N917" t="str" cm="1">
        <f t="array" ref="N91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17">
        <f>ROUND(calls[[#This Row],[Satisfaction Rating]],0)</f>
        <v>4</v>
      </c>
      <c r="P917" s="53">
        <f t="shared" si="14"/>
        <v>307</v>
      </c>
    </row>
    <row r="918" spans="2:16">
      <c r="B918" t="s">
        <v>998</v>
      </c>
      <c r="C918" t="s">
        <v>63</v>
      </c>
      <c r="D918" s="46" t="str" cm="1">
        <f t="array" ref="D918">_xlfn.XLOOKUP(C918,customers[Customer ID],customers[Gender],"")</f>
        <v>Male</v>
      </c>
      <c r="E918" s="46" cm="1">
        <f t="array" ref="E918">_xlfn.XLOOKUP(C918,customers[Customer ID],customers[Age],"")</f>
        <v>31</v>
      </c>
      <c r="F918" s="46" t="str" cm="1">
        <f t="array" ref="F918">_xlfn.XLOOKUP(C918,customers[Customer ID],customers[City],"")</f>
        <v>Cleveland</v>
      </c>
      <c r="G918">
        <v>39</v>
      </c>
      <c r="H918" s="47" t="s">
        <v>40</v>
      </c>
      <c r="I918" s="48">
        <v>45244</v>
      </c>
      <c r="J918">
        <v>43</v>
      </c>
      <c r="K918">
        <v>4.2</v>
      </c>
      <c r="L918">
        <f>IF(MONTH(calls[[#This Row],[Date of Call]])&lt;=6,YEAR(calls[[#This Row],[Date of Call]]),YEAR(calls[[#This Row],[Date of Call]])+1)</f>
        <v>2024</v>
      </c>
      <c r="M918" t="str">
        <f>TEXT(calls[[#This Row],[Date of Call]],"DDDD")</f>
        <v>Tuesday</v>
      </c>
      <c r="N918" t="str" cm="1">
        <f t="array" ref="N91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18">
        <f>ROUND(calls[[#This Row],[Satisfaction Rating]],0)</f>
        <v>4</v>
      </c>
      <c r="P918" s="53">
        <f t="shared" si="14"/>
        <v>307</v>
      </c>
    </row>
    <row r="919" spans="2:16">
      <c r="B919" t="s">
        <v>999</v>
      </c>
      <c r="C919" t="s">
        <v>66</v>
      </c>
      <c r="D919" s="46" t="str" cm="1">
        <f t="array" ref="D919">_xlfn.XLOOKUP(C919,customers[Customer ID],customers[Gender],"")</f>
        <v>Female</v>
      </c>
      <c r="E919" s="46" cm="1">
        <f t="array" ref="E919">_xlfn.XLOOKUP(C919,customers[Customer ID],customers[Age],"")</f>
        <v>30</v>
      </c>
      <c r="F919" s="46" t="str" cm="1">
        <f t="array" ref="F919">_xlfn.XLOOKUP(C919,customers[Customer ID],customers[City],"")</f>
        <v>Cleveland</v>
      </c>
      <c r="G919">
        <v>149</v>
      </c>
      <c r="H919" s="47" t="s">
        <v>37</v>
      </c>
      <c r="I919" s="48">
        <v>45244</v>
      </c>
      <c r="J919">
        <v>44</v>
      </c>
      <c r="K919">
        <v>2.2</v>
      </c>
      <c r="L919">
        <f>IF(MONTH(calls[[#This Row],[Date of Call]])&lt;=6,YEAR(calls[[#This Row],[Date of Call]]),YEAR(calls[[#This Row],[Date of Call]])+1)</f>
        <v>2024</v>
      </c>
      <c r="M919" t="str">
        <f>TEXT(calls[[#This Row],[Date of Call]],"DDDD")</f>
        <v>Tuesday</v>
      </c>
      <c r="N919" t="str" cm="1">
        <f t="array" ref="N91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19">
        <f>ROUND(calls[[#This Row],[Satisfaction Rating]],0)</f>
        <v>2</v>
      </c>
      <c r="P919" s="53">
        <f t="shared" si="14"/>
        <v>307</v>
      </c>
    </row>
    <row r="920" spans="2:16">
      <c r="B920" t="s">
        <v>1000</v>
      </c>
      <c r="C920" t="s">
        <v>69</v>
      </c>
      <c r="D920" s="46" t="str" cm="1">
        <f t="array" ref="D920">_xlfn.XLOOKUP(C920,customers[Customer ID],customers[Gender],"")</f>
        <v>Male</v>
      </c>
      <c r="E920" s="46" cm="1">
        <f t="array" ref="E920">_xlfn.XLOOKUP(C920,customers[Customer ID],customers[Age],"")</f>
        <v>41</v>
      </c>
      <c r="F920" s="46" t="str" cm="1">
        <f t="array" ref="F920">_xlfn.XLOOKUP(C920,customers[Customer ID],customers[City],"")</f>
        <v>Columbus</v>
      </c>
      <c r="G920">
        <v>138</v>
      </c>
      <c r="H920" s="47" t="s">
        <v>38</v>
      </c>
      <c r="I920" s="48">
        <v>45244</v>
      </c>
      <c r="J920">
        <v>105</v>
      </c>
      <c r="K920">
        <v>3.9</v>
      </c>
      <c r="L920">
        <f>IF(MONTH(calls[[#This Row],[Date of Call]])&lt;=6,YEAR(calls[[#This Row],[Date of Call]]),YEAR(calls[[#This Row],[Date of Call]])+1)</f>
        <v>2024</v>
      </c>
      <c r="M920" t="str">
        <f>TEXT(calls[[#This Row],[Date of Call]],"DDDD")</f>
        <v>Tuesday</v>
      </c>
      <c r="N920" t="str" cm="1">
        <f t="array" ref="N92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20">
        <f>ROUND(calls[[#This Row],[Satisfaction Rating]],0)</f>
        <v>4</v>
      </c>
      <c r="P920" s="53">
        <f t="shared" si="14"/>
        <v>307</v>
      </c>
    </row>
    <row r="921" spans="2:16">
      <c r="B921" t="s">
        <v>1001</v>
      </c>
      <c r="C921" t="s">
        <v>67</v>
      </c>
      <c r="D921" s="46" t="str" cm="1">
        <f t="array" ref="D921">_xlfn.XLOOKUP(C921,customers[Customer ID],customers[Gender],"")</f>
        <v>Female</v>
      </c>
      <c r="E921" s="46" cm="1">
        <f t="array" ref="E921">_xlfn.XLOOKUP(C921,customers[Customer ID],customers[Age],"")</f>
        <v>37</v>
      </c>
      <c r="F921" s="46" t="str" cm="1">
        <f t="array" ref="F921">_xlfn.XLOOKUP(C921,customers[Customer ID],customers[City],"")</f>
        <v>Cleveland</v>
      </c>
      <c r="G921">
        <v>113</v>
      </c>
      <c r="H921" s="47" t="s">
        <v>37</v>
      </c>
      <c r="I921" s="48">
        <v>45245</v>
      </c>
      <c r="J921">
        <v>34</v>
      </c>
      <c r="K921">
        <v>3.9</v>
      </c>
      <c r="L921">
        <f>IF(MONTH(calls[[#This Row],[Date of Call]])&lt;=6,YEAR(calls[[#This Row],[Date of Call]]),YEAR(calls[[#This Row],[Date of Call]])+1)</f>
        <v>2024</v>
      </c>
      <c r="M921" t="str">
        <f>TEXT(calls[[#This Row],[Date of Call]],"DDDD")</f>
        <v>Wednesday</v>
      </c>
      <c r="N921" t="str" cm="1">
        <f t="array" ref="N9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21">
        <f>ROUND(calls[[#This Row],[Satisfaction Rating]],0)</f>
        <v>4</v>
      </c>
      <c r="P921" s="53">
        <f t="shared" si="14"/>
        <v>307</v>
      </c>
    </row>
    <row r="922" spans="2:16">
      <c r="B922" t="s">
        <v>1002</v>
      </c>
      <c r="C922" t="s">
        <v>61</v>
      </c>
      <c r="D922" s="46" t="str" cm="1">
        <f t="array" ref="D922">_xlfn.XLOOKUP(C922,customers[Customer ID],customers[Gender],"")</f>
        <v>Female</v>
      </c>
      <c r="E922" s="46" cm="1">
        <f t="array" ref="E922">_xlfn.XLOOKUP(C922,customers[Customer ID],customers[Age],"")</f>
        <v>30</v>
      </c>
      <c r="F922" s="46" t="str" cm="1">
        <f t="array" ref="F922">_xlfn.XLOOKUP(C922,customers[Customer ID],customers[City],"")</f>
        <v>Cincinnati</v>
      </c>
      <c r="G922">
        <v>88</v>
      </c>
      <c r="H922" s="47" t="s">
        <v>40</v>
      </c>
      <c r="I922" s="48">
        <v>45245</v>
      </c>
      <c r="J922">
        <v>220</v>
      </c>
      <c r="K922">
        <v>4.1</v>
      </c>
      <c r="L922">
        <f>IF(MONTH(calls[[#This Row],[Date of Call]])&lt;=6,YEAR(calls[[#This Row],[Date of Call]]),YEAR(calls[[#This Row],[Date of Call]])+1)</f>
        <v>2024</v>
      </c>
      <c r="M922" t="str">
        <f>TEXT(calls[[#This Row],[Date of Call]],"DDDD")</f>
        <v>Wednesday</v>
      </c>
      <c r="N922" t="str" cm="1">
        <f t="array" ref="N92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22">
        <f>ROUND(calls[[#This Row],[Satisfaction Rating]],0)</f>
        <v>4</v>
      </c>
      <c r="P922" s="53">
        <f t="shared" si="14"/>
        <v>307</v>
      </c>
    </row>
    <row r="923" spans="2:16">
      <c r="B923" t="s">
        <v>1003</v>
      </c>
      <c r="C923" t="s">
        <v>59</v>
      </c>
      <c r="D923" s="46" t="str" cm="1">
        <f t="array" ref="D923">_xlfn.XLOOKUP(C923,customers[Customer ID],customers[Gender],"")</f>
        <v>Male</v>
      </c>
      <c r="E923" s="46" cm="1">
        <f t="array" ref="E923">_xlfn.XLOOKUP(C923,customers[Customer ID],customers[Age],"")</f>
        <v>26</v>
      </c>
      <c r="F923" s="46" t="str" cm="1">
        <f t="array" ref="F923">_xlfn.XLOOKUP(C923,customers[Customer ID],customers[City],"")</f>
        <v>Cincinnati</v>
      </c>
      <c r="G923">
        <v>64</v>
      </c>
      <c r="H923" s="47" t="s">
        <v>38</v>
      </c>
      <c r="I923" s="48">
        <v>45245</v>
      </c>
      <c r="J923">
        <v>225</v>
      </c>
      <c r="K923">
        <v>4.6</v>
      </c>
      <c r="L923">
        <f>IF(MONTH(calls[[#This Row],[Date of Call]])&lt;=6,YEAR(calls[[#This Row],[Date of Call]]),YEAR(calls[[#This Row],[Date of Call]])+1)</f>
        <v>2024</v>
      </c>
      <c r="M923" t="str">
        <f>TEXT(calls[[#This Row],[Date of Call]],"DDDD")</f>
        <v>Wednesday</v>
      </c>
      <c r="N923" t="str" cm="1">
        <f t="array" ref="N9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23">
        <f>ROUND(calls[[#This Row],[Satisfaction Rating]],0)</f>
        <v>5</v>
      </c>
      <c r="P923" s="53">
        <f t="shared" si="14"/>
        <v>307</v>
      </c>
    </row>
    <row r="924" spans="2:16">
      <c r="B924" t="s">
        <v>1004</v>
      </c>
      <c r="C924" t="s">
        <v>70</v>
      </c>
      <c r="D924" s="46" t="str" cm="1">
        <f t="array" ref="D924">_xlfn.XLOOKUP(C924,customers[Customer ID],customers[Gender],"")</f>
        <v>Male</v>
      </c>
      <c r="E924" s="46" cm="1">
        <f t="array" ref="E924">_xlfn.XLOOKUP(C924,customers[Customer ID],customers[Age],"")</f>
        <v>37</v>
      </c>
      <c r="F924" s="46" t="str" cm="1">
        <f t="array" ref="F924">_xlfn.XLOOKUP(C924,customers[Customer ID],customers[City],"")</f>
        <v>Columbus</v>
      </c>
      <c r="G924">
        <v>53</v>
      </c>
      <c r="H924" s="47" t="s">
        <v>38</v>
      </c>
      <c r="I924" s="48">
        <v>45246</v>
      </c>
      <c r="J924">
        <v>37</v>
      </c>
      <c r="K924">
        <v>4.1</v>
      </c>
      <c r="L924">
        <f>IF(MONTH(calls[[#This Row],[Date of Call]])&lt;=6,YEAR(calls[[#This Row],[Date of Call]]),YEAR(calls[[#This Row],[Date of Call]])+1)</f>
        <v>2024</v>
      </c>
      <c r="M924" t="str">
        <f>TEXT(calls[[#This Row],[Date of Call]],"DDDD")</f>
        <v>Thursday</v>
      </c>
      <c r="N924" t="str" cm="1">
        <f t="array" ref="N92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24">
        <f>ROUND(calls[[#This Row],[Satisfaction Rating]],0)</f>
        <v>4</v>
      </c>
      <c r="P924" s="53">
        <f t="shared" si="14"/>
        <v>307</v>
      </c>
    </row>
    <row r="925" spans="2:16">
      <c r="B925" t="s">
        <v>1005</v>
      </c>
      <c r="C925" t="s">
        <v>62</v>
      </c>
      <c r="D925" s="46" t="str" cm="1">
        <f t="array" ref="D925">_xlfn.XLOOKUP(C925,customers[Customer ID],customers[Gender],"")</f>
        <v>Female</v>
      </c>
      <c r="E925" s="46" cm="1">
        <f t="array" ref="E925">_xlfn.XLOOKUP(C925,customers[Customer ID],customers[Age],"")</f>
        <v>28</v>
      </c>
      <c r="F925" s="46" t="str" cm="1">
        <f t="array" ref="F925">_xlfn.XLOOKUP(C925,customers[Customer ID],customers[City],"")</f>
        <v>Cincinnati</v>
      </c>
      <c r="G925">
        <v>63</v>
      </c>
      <c r="H925" s="47" t="s">
        <v>37</v>
      </c>
      <c r="I925" s="48">
        <v>45246</v>
      </c>
      <c r="J925">
        <v>44</v>
      </c>
      <c r="K925">
        <v>5</v>
      </c>
      <c r="L925">
        <f>IF(MONTH(calls[[#This Row],[Date of Call]])&lt;=6,YEAR(calls[[#This Row],[Date of Call]]),YEAR(calls[[#This Row],[Date of Call]])+1)</f>
        <v>2024</v>
      </c>
      <c r="M925" t="str">
        <f>TEXT(calls[[#This Row],[Date of Call]],"DDDD")</f>
        <v>Thursday</v>
      </c>
      <c r="N925" t="str" cm="1">
        <f t="array" ref="N92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25">
        <f>ROUND(calls[[#This Row],[Satisfaction Rating]],0)</f>
        <v>5</v>
      </c>
      <c r="P925" s="53">
        <f t="shared" si="14"/>
        <v>307</v>
      </c>
    </row>
    <row r="926" spans="2:16">
      <c r="B926" t="s">
        <v>1006</v>
      </c>
      <c r="C926" t="s">
        <v>64</v>
      </c>
      <c r="D926" s="46" t="str" cm="1">
        <f t="array" ref="D926">_xlfn.XLOOKUP(C926,customers[Customer ID],customers[Gender],"")</f>
        <v>Female</v>
      </c>
      <c r="E926" s="46" cm="1">
        <f t="array" ref="E926">_xlfn.XLOOKUP(C926,customers[Customer ID],customers[Age],"")</f>
        <v>22</v>
      </c>
      <c r="F926" s="46" t="str" cm="1">
        <f t="array" ref="F926">_xlfn.XLOOKUP(C926,customers[Customer ID],customers[City],"")</f>
        <v>Cleveland</v>
      </c>
      <c r="G926">
        <v>54</v>
      </c>
      <c r="H926" s="47" t="s">
        <v>37</v>
      </c>
      <c r="I926" s="48">
        <v>45247</v>
      </c>
      <c r="J926">
        <v>35</v>
      </c>
      <c r="K926">
        <v>2.8</v>
      </c>
      <c r="L926">
        <f>IF(MONTH(calls[[#This Row],[Date of Call]])&lt;=6,YEAR(calls[[#This Row],[Date of Call]]),YEAR(calls[[#This Row],[Date of Call]])+1)</f>
        <v>2024</v>
      </c>
      <c r="M926" t="str">
        <f>TEXT(calls[[#This Row],[Date of Call]],"DDDD")</f>
        <v>Friday</v>
      </c>
      <c r="N926" t="str" cm="1">
        <f t="array" ref="N92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26">
        <f>ROUND(calls[[#This Row],[Satisfaction Rating]],0)</f>
        <v>3</v>
      </c>
      <c r="P926" s="53">
        <f t="shared" si="14"/>
        <v>307</v>
      </c>
    </row>
    <row r="927" spans="2:16">
      <c r="B927" t="s">
        <v>1007</v>
      </c>
      <c r="C927" t="s">
        <v>62</v>
      </c>
      <c r="D927" s="46" t="str" cm="1">
        <f t="array" ref="D927">_xlfn.XLOOKUP(C927,customers[Customer ID],customers[Gender],"")</f>
        <v>Female</v>
      </c>
      <c r="E927" s="46" cm="1">
        <f t="array" ref="E927">_xlfn.XLOOKUP(C927,customers[Customer ID],customers[Age],"")</f>
        <v>28</v>
      </c>
      <c r="F927" s="46" t="str" cm="1">
        <f t="array" ref="F927">_xlfn.XLOOKUP(C927,customers[Customer ID],customers[City],"")</f>
        <v>Cincinnati</v>
      </c>
      <c r="G927">
        <v>54</v>
      </c>
      <c r="H927" s="47" t="s">
        <v>40</v>
      </c>
      <c r="I927" s="48">
        <v>45247</v>
      </c>
      <c r="J927">
        <v>145</v>
      </c>
      <c r="K927">
        <v>2.7</v>
      </c>
      <c r="L927">
        <f>IF(MONTH(calls[[#This Row],[Date of Call]])&lt;=6,YEAR(calls[[#This Row],[Date of Call]]),YEAR(calls[[#This Row],[Date of Call]])+1)</f>
        <v>2024</v>
      </c>
      <c r="M927" t="str">
        <f>TEXT(calls[[#This Row],[Date of Call]],"DDDD")</f>
        <v>Friday</v>
      </c>
      <c r="N927" t="str" cm="1">
        <f t="array" ref="N92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27">
        <f>ROUND(calls[[#This Row],[Satisfaction Rating]],0)</f>
        <v>3</v>
      </c>
      <c r="P927" s="53">
        <f t="shared" si="14"/>
        <v>307</v>
      </c>
    </row>
    <row r="928" spans="2:16">
      <c r="B928" t="s">
        <v>1008</v>
      </c>
      <c r="C928" t="s">
        <v>66</v>
      </c>
      <c r="D928" s="46" t="str" cm="1">
        <f t="array" ref="D928">_xlfn.XLOOKUP(C928,customers[Customer ID],customers[Gender],"")</f>
        <v>Female</v>
      </c>
      <c r="E928" s="46" cm="1">
        <f t="array" ref="E928">_xlfn.XLOOKUP(C928,customers[Customer ID],customers[Age],"")</f>
        <v>30</v>
      </c>
      <c r="F928" s="46" t="str" cm="1">
        <f t="array" ref="F928">_xlfn.XLOOKUP(C928,customers[Customer ID],customers[City],"")</f>
        <v>Cleveland</v>
      </c>
      <c r="G928">
        <v>71</v>
      </c>
      <c r="H928" s="47" t="s">
        <v>38</v>
      </c>
      <c r="I928" s="48">
        <v>45247</v>
      </c>
      <c r="J928">
        <v>64</v>
      </c>
      <c r="K928">
        <v>3.9</v>
      </c>
      <c r="L928">
        <f>IF(MONTH(calls[[#This Row],[Date of Call]])&lt;=6,YEAR(calls[[#This Row],[Date of Call]]),YEAR(calls[[#This Row],[Date of Call]])+1)</f>
        <v>2024</v>
      </c>
      <c r="M928" t="str">
        <f>TEXT(calls[[#This Row],[Date of Call]],"DDDD")</f>
        <v>Friday</v>
      </c>
      <c r="N928" t="str" cm="1">
        <f t="array" ref="N9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28">
        <f>ROUND(calls[[#This Row],[Satisfaction Rating]],0)</f>
        <v>4</v>
      </c>
      <c r="P928" s="53">
        <f t="shared" si="14"/>
        <v>307</v>
      </c>
    </row>
    <row r="929" spans="2:16">
      <c r="B929" t="s">
        <v>1009</v>
      </c>
      <c r="C929" t="s">
        <v>62</v>
      </c>
      <c r="D929" s="46" t="str" cm="1">
        <f t="array" ref="D929">_xlfn.XLOOKUP(C929,customers[Customer ID],customers[Gender],"")</f>
        <v>Female</v>
      </c>
      <c r="E929" s="46" cm="1">
        <f t="array" ref="E929">_xlfn.XLOOKUP(C929,customers[Customer ID],customers[Age],"")</f>
        <v>28</v>
      </c>
      <c r="F929" s="46" t="str" cm="1">
        <f t="array" ref="F929">_xlfn.XLOOKUP(C929,customers[Customer ID],customers[City],"")</f>
        <v>Cincinnati</v>
      </c>
      <c r="G929">
        <v>93</v>
      </c>
      <c r="H929" s="47" t="s">
        <v>40</v>
      </c>
      <c r="I929" s="48">
        <v>45248</v>
      </c>
      <c r="J929">
        <v>185</v>
      </c>
      <c r="K929">
        <v>4.3</v>
      </c>
      <c r="L929">
        <f>IF(MONTH(calls[[#This Row],[Date of Call]])&lt;=6,YEAR(calls[[#This Row],[Date of Call]]),YEAR(calls[[#This Row],[Date of Call]])+1)</f>
        <v>2024</v>
      </c>
      <c r="M929" t="str">
        <f>TEXT(calls[[#This Row],[Date of Call]],"DDDD")</f>
        <v>Saturday</v>
      </c>
      <c r="N929" t="str" cm="1">
        <f t="array" ref="N9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29">
        <f>ROUND(calls[[#This Row],[Satisfaction Rating]],0)</f>
        <v>4</v>
      </c>
      <c r="P929" s="53">
        <f t="shared" si="14"/>
        <v>307</v>
      </c>
    </row>
    <row r="930" spans="2:16">
      <c r="B930" t="s">
        <v>1010</v>
      </c>
      <c r="C930" t="s">
        <v>73</v>
      </c>
      <c r="D930" s="46" t="str" cm="1">
        <f t="array" ref="D930">_xlfn.XLOOKUP(C930,customers[Customer ID],customers[Gender],"")</f>
        <v>Female</v>
      </c>
      <c r="E930" s="46" cm="1">
        <f t="array" ref="E930">_xlfn.XLOOKUP(C930,customers[Customer ID],customers[Age],"")</f>
        <v>38</v>
      </c>
      <c r="F930" s="46" t="str" cm="1">
        <f t="array" ref="F930">_xlfn.XLOOKUP(C930,customers[Customer ID],customers[City],"")</f>
        <v>Columbus</v>
      </c>
      <c r="G930">
        <v>96</v>
      </c>
      <c r="H930" s="47" t="s">
        <v>37</v>
      </c>
      <c r="I930" s="48">
        <v>45248</v>
      </c>
      <c r="J930">
        <v>215</v>
      </c>
      <c r="K930">
        <v>2.5</v>
      </c>
      <c r="L930">
        <f>IF(MONTH(calls[[#This Row],[Date of Call]])&lt;=6,YEAR(calls[[#This Row],[Date of Call]]),YEAR(calls[[#This Row],[Date of Call]])+1)</f>
        <v>2024</v>
      </c>
      <c r="M930" t="str">
        <f>TEXT(calls[[#This Row],[Date of Call]],"DDDD")</f>
        <v>Saturday</v>
      </c>
      <c r="N930" t="str" cm="1">
        <f t="array" ref="N93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30">
        <f>ROUND(calls[[#This Row],[Satisfaction Rating]],0)</f>
        <v>3</v>
      </c>
      <c r="P930" s="53">
        <f t="shared" si="14"/>
        <v>307</v>
      </c>
    </row>
    <row r="931" spans="2:16">
      <c r="B931" t="s">
        <v>1011</v>
      </c>
      <c r="C931" t="s">
        <v>63</v>
      </c>
      <c r="D931" s="46" t="str" cm="1">
        <f t="array" ref="D931">_xlfn.XLOOKUP(C931,customers[Customer ID],customers[Gender],"")</f>
        <v>Male</v>
      </c>
      <c r="E931" s="46" cm="1">
        <f t="array" ref="E931">_xlfn.XLOOKUP(C931,customers[Customer ID],customers[Age],"")</f>
        <v>31</v>
      </c>
      <c r="F931" s="46" t="str" cm="1">
        <f t="array" ref="F931">_xlfn.XLOOKUP(C931,customers[Customer ID],customers[City],"")</f>
        <v>Cleveland</v>
      </c>
      <c r="G931">
        <v>31</v>
      </c>
      <c r="H931" s="47" t="s">
        <v>36</v>
      </c>
      <c r="I931" s="48">
        <v>45248</v>
      </c>
      <c r="J931">
        <v>88</v>
      </c>
      <c r="K931">
        <v>3.4</v>
      </c>
      <c r="L931">
        <f>IF(MONTH(calls[[#This Row],[Date of Call]])&lt;=6,YEAR(calls[[#This Row],[Date of Call]]),YEAR(calls[[#This Row],[Date of Call]])+1)</f>
        <v>2024</v>
      </c>
      <c r="M931" t="str">
        <f>TEXT(calls[[#This Row],[Date of Call]],"DDDD")</f>
        <v>Saturday</v>
      </c>
      <c r="N931" t="str" cm="1">
        <f t="array" ref="N93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31">
        <f>ROUND(calls[[#This Row],[Satisfaction Rating]],0)</f>
        <v>3</v>
      </c>
      <c r="P931" s="53">
        <f t="shared" si="14"/>
        <v>307</v>
      </c>
    </row>
    <row r="932" spans="2:16">
      <c r="B932" t="s">
        <v>1012</v>
      </c>
      <c r="C932" t="s">
        <v>62</v>
      </c>
      <c r="D932" s="46" t="str" cm="1">
        <f t="array" ref="D932">_xlfn.XLOOKUP(C932,customers[Customer ID],customers[Gender],"")</f>
        <v>Female</v>
      </c>
      <c r="E932" s="46" cm="1">
        <f t="array" ref="E932">_xlfn.XLOOKUP(C932,customers[Customer ID],customers[Age],"")</f>
        <v>28</v>
      </c>
      <c r="F932" s="46" t="str" cm="1">
        <f t="array" ref="F932">_xlfn.XLOOKUP(C932,customers[Customer ID],customers[City],"")</f>
        <v>Cincinnati</v>
      </c>
      <c r="G932">
        <v>107</v>
      </c>
      <c r="H932" s="47" t="s">
        <v>38</v>
      </c>
      <c r="I932" s="48">
        <v>45248</v>
      </c>
      <c r="J932">
        <v>23</v>
      </c>
      <c r="K932">
        <v>3.4</v>
      </c>
      <c r="L932">
        <f>IF(MONTH(calls[[#This Row],[Date of Call]])&lt;=6,YEAR(calls[[#This Row],[Date of Call]]),YEAR(calls[[#This Row],[Date of Call]])+1)</f>
        <v>2024</v>
      </c>
      <c r="M932" t="str">
        <f>TEXT(calls[[#This Row],[Date of Call]],"DDDD")</f>
        <v>Saturday</v>
      </c>
      <c r="N932" t="str" cm="1">
        <f t="array" ref="N93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32">
        <f>ROUND(calls[[#This Row],[Satisfaction Rating]],0)</f>
        <v>3</v>
      </c>
      <c r="P932" s="53">
        <f t="shared" si="14"/>
        <v>307</v>
      </c>
    </row>
    <row r="933" spans="2:16">
      <c r="B933" t="s">
        <v>1013</v>
      </c>
      <c r="C933" t="s">
        <v>70</v>
      </c>
      <c r="D933" s="46" t="str" cm="1">
        <f t="array" ref="D933">_xlfn.XLOOKUP(C933,customers[Customer ID],customers[Gender],"")</f>
        <v>Male</v>
      </c>
      <c r="E933" s="46" cm="1">
        <f t="array" ref="E933">_xlfn.XLOOKUP(C933,customers[Customer ID],customers[Age],"")</f>
        <v>37</v>
      </c>
      <c r="F933" s="46" t="str" cm="1">
        <f t="array" ref="F933">_xlfn.XLOOKUP(C933,customers[Customer ID],customers[City],"")</f>
        <v>Columbus</v>
      </c>
      <c r="G933">
        <v>50</v>
      </c>
      <c r="H933" s="47" t="s">
        <v>36</v>
      </c>
      <c r="I933" s="48">
        <v>45249</v>
      </c>
      <c r="J933">
        <v>180</v>
      </c>
      <c r="K933">
        <v>1.8</v>
      </c>
      <c r="L933">
        <f>IF(MONTH(calls[[#This Row],[Date of Call]])&lt;=6,YEAR(calls[[#This Row],[Date of Call]]),YEAR(calls[[#This Row],[Date of Call]])+1)</f>
        <v>2024</v>
      </c>
      <c r="M933" t="str">
        <f>TEXT(calls[[#This Row],[Date of Call]],"DDDD")</f>
        <v>Sunday</v>
      </c>
      <c r="N933" t="str" cm="1">
        <f t="array" ref="N93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33">
        <f>ROUND(calls[[#This Row],[Satisfaction Rating]],0)</f>
        <v>2</v>
      </c>
      <c r="P933" s="53">
        <f t="shared" si="14"/>
        <v>307</v>
      </c>
    </row>
    <row r="934" spans="2:16">
      <c r="B934" t="s">
        <v>1014</v>
      </c>
      <c r="C934" t="s">
        <v>69</v>
      </c>
      <c r="D934" s="46" t="str" cm="1">
        <f t="array" ref="D934">_xlfn.XLOOKUP(C934,customers[Customer ID],customers[Gender],"")</f>
        <v>Male</v>
      </c>
      <c r="E934" s="46" cm="1">
        <f t="array" ref="E934">_xlfn.XLOOKUP(C934,customers[Customer ID],customers[Age],"")</f>
        <v>41</v>
      </c>
      <c r="F934" s="46" t="str" cm="1">
        <f t="array" ref="F934">_xlfn.XLOOKUP(C934,customers[Customer ID],customers[City],"")</f>
        <v>Columbus</v>
      </c>
      <c r="G934">
        <v>69</v>
      </c>
      <c r="H934" s="47" t="s">
        <v>38</v>
      </c>
      <c r="I934" s="48">
        <v>45250</v>
      </c>
      <c r="J934">
        <v>225</v>
      </c>
      <c r="K934">
        <v>3.7</v>
      </c>
      <c r="L934">
        <f>IF(MONTH(calls[[#This Row],[Date of Call]])&lt;=6,YEAR(calls[[#This Row],[Date of Call]]),YEAR(calls[[#This Row],[Date of Call]])+1)</f>
        <v>2024</v>
      </c>
      <c r="M934" t="str">
        <f>TEXT(calls[[#This Row],[Date of Call]],"DDDD")</f>
        <v>Monday</v>
      </c>
      <c r="N934" t="str" cm="1">
        <f t="array" ref="N93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34">
        <f>ROUND(calls[[#This Row],[Satisfaction Rating]],0)</f>
        <v>4</v>
      </c>
      <c r="P934" s="53">
        <f t="shared" si="14"/>
        <v>307</v>
      </c>
    </row>
    <row r="935" spans="2:16">
      <c r="B935" t="s">
        <v>1015</v>
      </c>
      <c r="C935" t="s">
        <v>61</v>
      </c>
      <c r="D935" s="46" t="str" cm="1">
        <f t="array" ref="D935">_xlfn.XLOOKUP(C935,customers[Customer ID],customers[Gender],"")</f>
        <v>Female</v>
      </c>
      <c r="E935" s="46" cm="1">
        <f t="array" ref="E935">_xlfn.XLOOKUP(C935,customers[Customer ID],customers[Age],"")</f>
        <v>30</v>
      </c>
      <c r="F935" s="46" t="str" cm="1">
        <f t="array" ref="F935">_xlfn.XLOOKUP(C935,customers[Customer ID],customers[City],"")</f>
        <v>Cincinnati</v>
      </c>
      <c r="G935">
        <v>26</v>
      </c>
      <c r="H935" s="47" t="s">
        <v>37</v>
      </c>
      <c r="I935" s="48">
        <v>45251</v>
      </c>
      <c r="J935">
        <v>74</v>
      </c>
      <c r="K935">
        <v>4.1</v>
      </c>
      <c r="L935">
        <f>IF(MONTH(calls[[#This Row],[Date of Call]])&lt;=6,YEAR(calls[[#This Row],[Date of Call]]),YEAR(calls[[#This Row],[Date of Call]])+1)</f>
        <v>2024</v>
      </c>
      <c r="M935" t="str">
        <f>TEXT(calls[[#This Row],[Date of Call]],"DDDD")</f>
        <v>Tuesday</v>
      </c>
      <c r="N935" t="str" cm="1">
        <f t="array" ref="N93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935">
        <f>ROUND(calls[[#This Row],[Satisfaction Rating]],0)</f>
        <v>4</v>
      </c>
      <c r="P935" s="53">
        <f t="shared" si="14"/>
        <v>307</v>
      </c>
    </row>
    <row r="936" spans="2:16">
      <c r="B936" t="s">
        <v>1016</v>
      </c>
      <c r="C936" t="s">
        <v>73</v>
      </c>
      <c r="D936" s="46" t="str" cm="1">
        <f t="array" ref="D936">_xlfn.XLOOKUP(C936,customers[Customer ID],customers[Gender],"")</f>
        <v>Female</v>
      </c>
      <c r="E936" s="46" cm="1">
        <f t="array" ref="E936">_xlfn.XLOOKUP(C936,customers[Customer ID],customers[Age],"")</f>
        <v>38</v>
      </c>
      <c r="F936" s="46" t="str" cm="1">
        <f t="array" ref="F936">_xlfn.XLOOKUP(C936,customers[Customer ID],customers[City],"")</f>
        <v>Columbus</v>
      </c>
      <c r="G936">
        <v>158</v>
      </c>
      <c r="H936" s="47" t="s">
        <v>38</v>
      </c>
      <c r="I936" s="48">
        <v>45251</v>
      </c>
      <c r="J936">
        <v>36</v>
      </c>
      <c r="K936">
        <v>3</v>
      </c>
      <c r="L936">
        <f>IF(MONTH(calls[[#This Row],[Date of Call]])&lt;=6,YEAR(calls[[#This Row],[Date of Call]]),YEAR(calls[[#This Row],[Date of Call]])+1)</f>
        <v>2024</v>
      </c>
      <c r="M936" t="str">
        <f>TEXT(calls[[#This Row],[Date of Call]],"DDDD")</f>
        <v>Tuesday</v>
      </c>
      <c r="N936" t="str" cm="1">
        <f t="array" ref="N93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36">
        <f>ROUND(calls[[#This Row],[Satisfaction Rating]],0)</f>
        <v>3</v>
      </c>
      <c r="P936" s="53">
        <f t="shared" si="14"/>
        <v>307</v>
      </c>
    </row>
    <row r="937" spans="2:16">
      <c r="B937" t="s">
        <v>1017</v>
      </c>
      <c r="C937" t="s">
        <v>64</v>
      </c>
      <c r="D937" s="46" t="str" cm="1">
        <f t="array" ref="D937">_xlfn.XLOOKUP(C937,customers[Customer ID],customers[Gender],"")</f>
        <v>Female</v>
      </c>
      <c r="E937" s="46" cm="1">
        <f t="array" ref="E937">_xlfn.XLOOKUP(C937,customers[Customer ID],customers[Age],"")</f>
        <v>22</v>
      </c>
      <c r="F937" s="46" t="str" cm="1">
        <f t="array" ref="F937">_xlfn.XLOOKUP(C937,customers[Customer ID],customers[City],"")</f>
        <v>Cleveland</v>
      </c>
      <c r="G937">
        <v>99</v>
      </c>
      <c r="H937" s="47" t="s">
        <v>38</v>
      </c>
      <c r="I937" s="48">
        <v>45253</v>
      </c>
      <c r="J937">
        <v>116</v>
      </c>
      <c r="K937">
        <v>3.9</v>
      </c>
      <c r="L937">
        <f>IF(MONTH(calls[[#This Row],[Date of Call]])&lt;=6,YEAR(calls[[#This Row],[Date of Call]]),YEAR(calls[[#This Row],[Date of Call]])+1)</f>
        <v>2024</v>
      </c>
      <c r="M937" t="str">
        <f>TEXT(calls[[#This Row],[Date of Call]],"DDDD")</f>
        <v>Thursday</v>
      </c>
      <c r="N937" t="str" cm="1">
        <f t="array" ref="N93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37">
        <f>ROUND(calls[[#This Row],[Satisfaction Rating]],0)</f>
        <v>4</v>
      </c>
      <c r="P937" s="53">
        <f t="shared" si="14"/>
        <v>307</v>
      </c>
    </row>
    <row r="938" spans="2:16">
      <c r="B938" t="s">
        <v>1018</v>
      </c>
      <c r="C938" t="s">
        <v>73</v>
      </c>
      <c r="D938" s="46" t="str" cm="1">
        <f t="array" ref="D938">_xlfn.XLOOKUP(C938,customers[Customer ID],customers[Gender],"")</f>
        <v>Female</v>
      </c>
      <c r="E938" s="46" cm="1">
        <f t="array" ref="E938">_xlfn.XLOOKUP(C938,customers[Customer ID],customers[Age],"")</f>
        <v>38</v>
      </c>
      <c r="F938" s="46" t="str" cm="1">
        <f t="array" ref="F938">_xlfn.XLOOKUP(C938,customers[Customer ID],customers[City],"")</f>
        <v>Columbus</v>
      </c>
      <c r="G938">
        <v>78</v>
      </c>
      <c r="H938" s="47" t="s">
        <v>36</v>
      </c>
      <c r="I938" s="48">
        <v>45253</v>
      </c>
      <c r="J938">
        <v>140</v>
      </c>
      <c r="K938">
        <v>4</v>
      </c>
      <c r="L938">
        <f>IF(MONTH(calls[[#This Row],[Date of Call]])&lt;=6,YEAR(calls[[#This Row],[Date of Call]]),YEAR(calls[[#This Row],[Date of Call]])+1)</f>
        <v>2024</v>
      </c>
      <c r="M938" t="str">
        <f>TEXT(calls[[#This Row],[Date of Call]],"DDDD")</f>
        <v>Thursday</v>
      </c>
      <c r="N938" t="str" cm="1">
        <f t="array" ref="N9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38">
        <f>ROUND(calls[[#This Row],[Satisfaction Rating]],0)</f>
        <v>4</v>
      </c>
      <c r="P938" s="53">
        <f t="shared" si="14"/>
        <v>307</v>
      </c>
    </row>
    <row r="939" spans="2:16">
      <c r="B939" t="s">
        <v>1019</v>
      </c>
      <c r="C939" t="s">
        <v>73</v>
      </c>
      <c r="D939" s="46" t="str" cm="1">
        <f t="array" ref="D939">_xlfn.XLOOKUP(C939,customers[Customer ID],customers[Gender],"")</f>
        <v>Female</v>
      </c>
      <c r="E939" s="46" cm="1">
        <f t="array" ref="E939">_xlfn.XLOOKUP(C939,customers[Customer ID],customers[Age],"")</f>
        <v>38</v>
      </c>
      <c r="F939" s="46" t="str" cm="1">
        <f t="array" ref="F939">_xlfn.XLOOKUP(C939,customers[Customer ID],customers[City],"")</f>
        <v>Columbus</v>
      </c>
      <c r="G939">
        <v>102</v>
      </c>
      <c r="H939" s="47" t="s">
        <v>37</v>
      </c>
      <c r="I939" s="48">
        <v>45254</v>
      </c>
      <c r="J939">
        <v>104</v>
      </c>
      <c r="K939">
        <v>4.5</v>
      </c>
      <c r="L939">
        <f>IF(MONTH(calls[[#This Row],[Date of Call]])&lt;=6,YEAR(calls[[#This Row],[Date of Call]]),YEAR(calls[[#This Row],[Date of Call]])+1)</f>
        <v>2024</v>
      </c>
      <c r="M939" t="str">
        <f>TEXT(calls[[#This Row],[Date of Call]],"DDDD")</f>
        <v>Friday</v>
      </c>
      <c r="N939" t="str" cm="1">
        <f t="array" ref="N9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39">
        <f>ROUND(calls[[#This Row],[Satisfaction Rating]],0)</f>
        <v>5</v>
      </c>
      <c r="P939" s="53">
        <f t="shared" si="14"/>
        <v>307</v>
      </c>
    </row>
    <row r="940" spans="2:16">
      <c r="B940" t="s">
        <v>1020</v>
      </c>
      <c r="C940" t="s">
        <v>64</v>
      </c>
      <c r="D940" s="46" t="str" cm="1">
        <f t="array" ref="D940">_xlfn.XLOOKUP(C940,customers[Customer ID],customers[Gender],"")</f>
        <v>Female</v>
      </c>
      <c r="E940" s="46" cm="1">
        <f t="array" ref="E940">_xlfn.XLOOKUP(C940,customers[Customer ID],customers[Age],"")</f>
        <v>22</v>
      </c>
      <c r="F940" s="46" t="str" cm="1">
        <f t="array" ref="F940">_xlfn.XLOOKUP(C940,customers[Customer ID],customers[City],"")</f>
        <v>Cleveland</v>
      </c>
      <c r="G940">
        <v>158</v>
      </c>
      <c r="H940" s="47" t="s">
        <v>39</v>
      </c>
      <c r="I940" s="48">
        <v>45254</v>
      </c>
      <c r="J940">
        <v>148</v>
      </c>
      <c r="K940">
        <v>4</v>
      </c>
      <c r="L940">
        <f>IF(MONTH(calls[[#This Row],[Date of Call]])&lt;=6,YEAR(calls[[#This Row],[Date of Call]]),YEAR(calls[[#This Row],[Date of Call]])+1)</f>
        <v>2024</v>
      </c>
      <c r="M940" t="str">
        <f>TEXT(calls[[#This Row],[Date of Call]],"DDDD")</f>
        <v>Friday</v>
      </c>
      <c r="N940" t="str" cm="1">
        <f t="array" ref="N94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40">
        <f>ROUND(calls[[#This Row],[Satisfaction Rating]],0)</f>
        <v>4</v>
      </c>
      <c r="P940" s="53">
        <f t="shared" si="14"/>
        <v>307</v>
      </c>
    </row>
    <row r="941" spans="2:16">
      <c r="B941" t="s">
        <v>1021</v>
      </c>
      <c r="C941" t="s">
        <v>63</v>
      </c>
      <c r="D941" s="46" t="str" cm="1">
        <f t="array" ref="D941">_xlfn.XLOOKUP(C941,customers[Customer ID],customers[Gender],"")</f>
        <v>Male</v>
      </c>
      <c r="E941" s="46" cm="1">
        <f t="array" ref="E941">_xlfn.XLOOKUP(C941,customers[Customer ID],customers[Age],"")</f>
        <v>31</v>
      </c>
      <c r="F941" s="46" t="str" cm="1">
        <f t="array" ref="F941">_xlfn.XLOOKUP(C941,customers[Customer ID],customers[City],"")</f>
        <v>Cleveland</v>
      </c>
      <c r="G941">
        <v>56</v>
      </c>
      <c r="H941" s="47" t="s">
        <v>38</v>
      </c>
      <c r="I941" s="48">
        <v>45254</v>
      </c>
      <c r="J941">
        <v>205</v>
      </c>
      <c r="K941">
        <v>4.3</v>
      </c>
      <c r="L941">
        <f>IF(MONTH(calls[[#This Row],[Date of Call]])&lt;=6,YEAR(calls[[#This Row],[Date of Call]]),YEAR(calls[[#This Row],[Date of Call]])+1)</f>
        <v>2024</v>
      </c>
      <c r="M941" t="str">
        <f>TEXT(calls[[#This Row],[Date of Call]],"DDDD")</f>
        <v>Friday</v>
      </c>
      <c r="N941" t="str" cm="1">
        <f t="array" ref="N94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41">
        <f>ROUND(calls[[#This Row],[Satisfaction Rating]],0)</f>
        <v>4</v>
      </c>
      <c r="P941" s="53">
        <f t="shared" si="14"/>
        <v>307</v>
      </c>
    </row>
    <row r="942" spans="2:16">
      <c r="B942" t="s">
        <v>1022</v>
      </c>
      <c r="C942" t="s">
        <v>60</v>
      </c>
      <c r="D942" s="46" t="str" cm="1">
        <f t="array" ref="D942">_xlfn.XLOOKUP(C942,customers[Customer ID],customers[Gender],"")</f>
        <v>Male</v>
      </c>
      <c r="E942" s="46" cm="1">
        <f t="array" ref="E942">_xlfn.XLOOKUP(C942,customers[Customer ID],customers[Age],"")</f>
        <v>36</v>
      </c>
      <c r="F942" s="46" t="str" cm="1">
        <f t="array" ref="F942">_xlfn.XLOOKUP(C942,customers[Customer ID],customers[City],"")</f>
        <v>Cincinnati</v>
      </c>
      <c r="G942">
        <v>17</v>
      </c>
      <c r="H942" s="47" t="s">
        <v>40</v>
      </c>
      <c r="I942" s="48">
        <v>45254</v>
      </c>
      <c r="J942">
        <v>210</v>
      </c>
      <c r="K942">
        <v>4.8</v>
      </c>
      <c r="L942">
        <f>IF(MONTH(calls[[#This Row],[Date of Call]])&lt;=6,YEAR(calls[[#This Row],[Date of Call]]),YEAR(calls[[#This Row],[Date of Call]])+1)</f>
        <v>2024</v>
      </c>
      <c r="M942" t="str">
        <f>TEXT(calls[[#This Row],[Date of Call]],"DDDD")</f>
        <v>Friday</v>
      </c>
      <c r="N942" t="str" cm="1">
        <f t="array" ref="N942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942">
        <f>ROUND(calls[[#This Row],[Satisfaction Rating]],0)</f>
        <v>5</v>
      </c>
      <c r="P942" s="53">
        <f t="shared" si="14"/>
        <v>307</v>
      </c>
    </row>
    <row r="943" spans="2:16">
      <c r="B943" t="s">
        <v>1023</v>
      </c>
      <c r="C943" t="s">
        <v>61</v>
      </c>
      <c r="D943" s="46" t="str" cm="1">
        <f t="array" ref="D943">_xlfn.XLOOKUP(C943,customers[Customer ID],customers[Gender],"")</f>
        <v>Female</v>
      </c>
      <c r="E943" s="46" cm="1">
        <f t="array" ref="E943">_xlfn.XLOOKUP(C943,customers[Customer ID],customers[Age],"")</f>
        <v>30</v>
      </c>
      <c r="F943" s="46" t="str" cm="1">
        <f t="array" ref="F943">_xlfn.XLOOKUP(C943,customers[Customer ID],customers[City],"")</f>
        <v>Cincinnati</v>
      </c>
      <c r="G943">
        <v>104</v>
      </c>
      <c r="H943" s="47" t="s">
        <v>39</v>
      </c>
      <c r="I943" s="48">
        <v>45256</v>
      </c>
      <c r="J943">
        <v>41</v>
      </c>
      <c r="K943">
        <v>4.7</v>
      </c>
      <c r="L943">
        <f>IF(MONTH(calls[[#This Row],[Date of Call]])&lt;=6,YEAR(calls[[#This Row],[Date of Call]]),YEAR(calls[[#This Row],[Date of Call]])+1)</f>
        <v>2024</v>
      </c>
      <c r="M943" t="str">
        <f>TEXT(calls[[#This Row],[Date of Call]],"DDDD")</f>
        <v>Sunday</v>
      </c>
      <c r="N943" t="str" cm="1">
        <f t="array" ref="N9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43">
        <f>ROUND(calls[[#This Row],[Satisfaction Rating]],0)</f>
        <v>5</v>
      </c>
      <c r="P943" s="53">
        <f t="shared" si="14"/>
        <v>307</v>
      </c>
    </row>
    <row r="944" spans="2:16">
      <c r="B944" t="s">
        <v>1024</v>
      </c>
      <c r="C944" t="s">
        <v>68</v>
      </c>
      <c r="D944" s="46" t="str" cm="1">
        <f t="array" ref="D944">_xlfn.XLOOKUP(C944,customers[Customer ID],customers[Gender],"")</f>
        <v>Female</v>
      </c>
      <c r="E944" s="46" cm="1">
        <f t="array" ref="E944">_xlfn.XLOOKUP(C944,customers[Customer ID],customers[Age],"")</f>
        <v>43</v>
      </c>
      <c r="F944" s="46" t="str" cm="1">
        <f t="array" ref="F944">_xlfn.XLOOKUP(C944,customers[Customer ID],customers[City],"")</f>
        <v>Cleveland</v>
      </c>
      <c r="G944">
        <v>96</v>
      </c>
      <c r="H944" s="47" t="s">
        <v>36</v>
      </c>
      <c r="I944" s="48">
        <v>45256</v>
      </c>
      <c r="J944">
        <v>136</v>
      </c>
      <c r="K944">
        <v>5</v>
      </c>
      <c r="L944">
        <f>IF(MONTH(calls[[#This Row],[Date of Call]])&lt;=6,YEAR(calls[[#This Row],[Date of Call]]),YEAR(calls[[#This Row],[Date of Call]])+1)</f>
        <v>2024</v>
      </c>
      <c r="M944" t="str">
        <f>TEXT(calls[[#This Row],[Date of Call]],"DDDD")</f>
        <v>Sunday</v>
      </c>
      <c r="N944" t="str" cm="1">
        <f t="array" ref="N9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44">
        <f>ROUND(calls[[#This Row],[Satisfaction Rating]],0)</f>
        <v>5</v>
      </c>
      <c r="P944" s="53">
        <f t="shared" si="14"/>
        <v>307</v>
      </c>
    </row>
    <row r="945" spans="2:16">
      <c r="B945" t="s">
        <v>1025</v>
      </c>
      <c r="C945" t="s">
        <v>72</v>
      </c>
      <c r="D945" s="46" t="str" cm="1">
        <f t="array" ref="D945">_xlfn.XLOOKUP(C945,customers[Customer ID],customers[Gender],"")</f>
        <v>Female</v>
      </c>
      <c r="E945" s="46" cm="1">
        <f t="array" ref="E945">_xlfn.XLOOKUP(C945,customers[Customer ID],customers[Age],"")</f>
        <v>25</v>
      </c>
      <c r="F945" s="46" t="str" cm="1">
        <f t="array" ref="F945">_xlfn.XLOOKUP(C945,customers[Customer ID],customers[City],"")</f>
        <v>Columbus</v>
      </c>
      <c r="G945">
        <v>83</v>
      </c>
      <c r="H945" s="47" t="s">
        <v>37</v>
      </c>
      <c r="I945" s="48">
        <v>45257</v>
      </c>
      <c r="J945">
        <v>126</v>
      </c>
      <c r="K945">
        <v>1.5</v>
      </c>
      <c r="L945">
        <f>IF(MONTH(calls[[#This Row],[Date of Call]])&lt;=6,YEAR(calls[[#This Row],[Date of Call]]),YEAR(calls[[#This Row],[Date of Call]])+1)</f>
        <v>2024</v>
      </c>
      <c r="M945" t="str">
        <f>TEXT(calls[[#This Row],[Date of Call]],"DDDD")</f>
        <v>Monday</v>
      </c>
      <c r="N945" t="str" cm="1">
        <f t="array" ref="N9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45">
        <f>ROUND(calls[[#This Row],[Satisfaction Rating]],0)</f>
        <v>2</v>
      </c>
      <c r="P945" s="53">
        <f t="shared" si="14"/>
        <v>307</v>
      </c>
    </row>
    <row r="946" spans="2:16">
      <c r="B946" t="s">
        <v>1026</v>
      </c>
      <c r="C946" t="s">
        <v>70</v>
      </c>
      <c r="D946" s="46" t="str" cm="1">
        <f t="array" ref="D946">_xlfn.XLOOKUP(C946,customers[Customer ID],customers[Gender],"")</f>
        <v>Male</v>
      </c>
      <c r="E946" s="46" cm="1">
        <f t="array" ref="E946">_xlfn.XLOOKUP(C946,customers[Customer ID],customers[Age],"")</f>
        <v>37</v>
      </c>
      <c r="F946" s="46" t="str" cm="1">
        <f t="array" ref="F946">_xlfn.XLOOKUP(C946,customers[Customer ID],customers[City],"")</f>
        <v>Columbus</v>
      </c>
      <c r="G946">
        <v>80</v>
      </c>
      <c r="H946" s="47" t="s">
        <v>40</v>
      </c>
      <c r="I946" s="48">
        <v>45258</v>
      </c>
      <c r="J946">
        <v>148</v>
      </c>
      <c r="K946">
        <v>4.1</v>
      </c>
      <c r="L946">
        <f>IF(MONTH(calls[[#This Row],[Date of Call]])&lt;=6,YEAR(calls[[#This Row],[Date of Call]]),YEAR(calls[[#This Row],[Date of Call]])+1)</f>
        <v>2024</v>
      </c>
      <c r="M946" t="str">
        <f>TEXT(calls[[#This Row],[Date of Call]],"DDDD")</f>
        <v>Tuesday</v>
      </c>
      <c r="N946" t="str" cm="1">
        <f t="array" ref="N94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46">
        <f>ROUND(calls[[#This Row],[Satisfaction Rating]],0)</f>
        <v>4</v>
      </c>
      <c r="P946" s="53">
        <f t="shared" si="14"/>
        <v>307</v>
      </c>
    </row>
    <row r="947" spans="2:16">
      <c r="B947" t="s">
        <v>1027</v>
      </c>
      <c r="C947" t="s">
        <v>72</v>
      </c>
      <c r="D947" s="46" t="str" cm="1">
        <f t="array" ref="D947">_xlfn.XLOOKUP(C947,customers[Customer ID],customers[Gender],"")</f>
        <v>Female</v>
      </c>
      <c r="E947" s="46" cm="1">
        <f t="array" ref="E947">_xlfn.XLOOKUP(C947,customers[Customer ID],customers[Age],"")</f>
        <v>25</v>
      </c>
      <c r="F947" s="46" t="str" cm="1">
        <f t="array" ref="F947">_xlfn.XLOOKUP(C947,customers[Customer ID],customers[City],"")</f>
        <v>Columbus</v>
      </c>
      <c r="G947">
        <v>152</v>
      </c>
      <c r="H947" s="47" t="s">
        <v>37</v>
      </c>
      <c r="I947" s="48">
        <v>45258</v>
      </c>
      <c r="J947">
        <v>125</v>
      </c>
      <c r="K947">
        <v>3.9</v>
      </c>
      <c r="L947">
        <f>IF(MONTH(calls[[#This Row],[Date of Call]])&lt;=6,YEAR(calls[[#This Row],[Date of Call]]),YEAR(calls[[#This Row],[Date of Call]])+1)</f>
        <v>2024</v>
      </c>
      <c r="M947" t="str">
        <f>TEXT(calls[[#This Row],[Date of Call]],"DDDD")</f>
        <v>Tuesday</v>
      </c>
      <c r="N947" t="str" cm="1">
        <f t="array" ref="N94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47">
        <f>ROUND(calls[[#This Row],[Satisfaction Rating]],0)</f>
        <v>4</v>
      </c>
      <c r="P947" s="53">
        <f t="shared" si="14"/>
        <v>307</v>
      </c>
    </row>
    <row r="948" spans="2:16">
      <c r="B948" t="s">
        <v>1028</v>
      </c>
      <c r="C948" t="s">
        <v>66</v>
      </c>
      <c r="D948" s="46" t="str" cm="1">
        <f t="array" ref="D948">_xlfn.XLOOKUP(C948,customers[Customer ID],customers[Gender],"")</f>
        <v>Female</v>
      </c>
      <c r="E948" s="46" cm="1">
        <f t="array" ref="E948">_xlfn.XLOOKUP(C948,customers[Customer ID],customers[Age],"")</f>
        <v>30</v>
      </c>
      <c r="F948" s="46" t="str" cm="1">
        <f t="array" ref="F948">_xlfn.XLOOKUP(C948,customers[Customer ID],customers[City],"")</f>
        <v>Cleveland</v>
      </c>
      <c r="G948">
        <v>34</v>
      </c>
      <c r="H948" s="47" t="s">
        <v>36</v>
      </c>
      <c r="I948" s="48">
        <v>45258</v>
      </c>
      <c r="J948">
        <v>25</v>
      </c>
      <c r="K948">
        <v>4.1</v>
      </c>
      <c r="L948">
        <f>IF(MONTH(calls[[#This Row],[Date of Call]])&lt;=6,YEAR(calls[[#This Row],[Date of Call]]),YEAR(calls[[#This Row],[Date of Call]])+1)</f>
        <v>2024</v>
      </c>
      <c r="M948" t="str">
        <f>TEXT(calls[[#This Row],[Date of Call]],"DDDD")</f>
        <v>Tuesday</v>
      </c>
      <c r="N948" t="str" cm="1">
        <f t="array" ref="N94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48">
        <f>ROUND(calls[[#This Row],[Satisfaction Rating]],0)</f>
        <v>4</v>
      </c>
      <c r="P948" s="53">
        <f t="shared" si="14"/>
        <v>307</v>
      </c>
    </row>
    <row r="949" spans="2:16">
      <c r="B949" t="s">
        <v>1029</v>
      </c>
      <c r="C949" t="s">
        <v>67</v>
      </c>
      <c r="D949" s="46" t="str" cm="1">
        <f t="array" ref="D949">_xlfn.XLOOKUP(C949,customers[Customer ID],customers[Gender],"")</f>
        <v>Female</v>
      </c>
      <c r="E949" s="46" cm="1">
        <f t="array" ref="E949">_xlfn.XLOOKUP(C949,customers[Customer ID],customers[Age],"")</f>
        <v>37</v>
      </c>
      <c r="F949" s="46" t="str" cm="1">
        <f t="array" ref="F949">_xlfn.XLOOKUP(C949,customers[Customer ID],customers[City],"")</f>
        <v>Cleveland</v>
      </c>
      <c r="G949">
        <v>2</v>
      </c>
      <c r="H949" s="47" t="s">
        <v>38</v>
      </c>
      <c r="I949" s="48">
        <v>45259</v>
      </c>
      <c r="J949">
        <v>62</v>
      </c>
      <c r="K949">
        <v>2.8</v>
      </c>
      <c r="L949">
        <f>IF(MONTH(calls[[#This Row],[Date of Call]])&lt;=6,YEAR(calls[[#This Row],[Date of Call]]),YEAR(calls[[#This Row],[Date of Call]])+1)</f>
        <v>2024</v>
      </c>
      <c r="M949" t="str">
        <f>TEXT(calls[[#This Row],[Date of Call]],"DDDD")</f>
        <v>Wednesday</v>
      </c>
      <c r="N949" t="str" cm="1">
        <f t="array" ref="N949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O949">
        <f>ROUND(calls[[#This Row],[Satisfaction Rating]],0)</f>
        <v>3</v>
      </c>
      <c r="P949" s="53">
        <f t="shared" si="14"/>
        <v>307</v>
      </c>
    </row>
    <row r="950" spans="2:16">
      <c r="B950" t="s">
        <v>1030</v>
      </c>
      <c r="C950" t="s">
        <v>70</v>
      </c>
      <c r="D950" s="46" t="str" cm="1">
        <f t="array" ref="D950">_xlfn.XLOOKUP(C950,customers[Customer ID],customers[Gender],"")</f>
        <v>Male</v>
      </c>
      <c r="E950" s="46" cm="1">
        <f t="array" ref="E950">_xlfn.XLOOKUP(C950,customers[Customer ID],customers[Age],"")</f>
        <v>37</v>
      </c>
      <c r="F950" s="46" t="str" cm="1">
        <f t="array" ref="F950">_xlfn.XLOOKUP(C950,customers[Customer ID],customers[City],"")</f>
        <v>Columbus</v>
      </c>
      <c r="G950">
        <v>140</v>
      </c>
      <c r="H950" s="47" t="s">
        <v>36</v>
      </c>
      <c r="I950" s="48">
        <v>45260</v>
      </c>
      <c r="J950">
        <v>90</v>
      </c>
      <c r="K950">
        <v>4.6</v>
      </c>
      <c r="L950">
        <f>IF(MONTH(calls[[#This Row],[Date of Call]])&lt;=6,YEAR(calls[[#This Row],[Date of Call]]),YEAR(calls[[#This Row],[Date of Call]])+1)</f>
        <v>2024</v>
      </c>
      <c r="M950" t="str">
        <f>TEXT(calls[[#This Row],[Date of Call]],"DDDD")</f>
        <v>Thursday</v>
      </c>
      <c r="N950" t="str" cm="1">
        <f t="array" ref="N95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50">
        <f>ROUND(calls[[#This Row],[Satisfaction Rating]],0)</f>
        <v>5</v>
      </c>
      <c r="P950" s="53">
        <f t="shared" si="14"/>
        <v>307</v>
      </c>
    </row>
    <row r="951" spans="2:16">
      <c r="B951" t="s">
        <v>1031</v>
      </c>
      <c r="C951" t="s">
        <v>60</v>
      </c>
      <c r="D951" s="46" t="str" cm="1">
        <f t="array" ref="D951">_xlfn.XLOOKUP(C951,customers[Customer ID],customers[Gender],"")</f>
        <v>Male</v>
      </c>
      <c r="E951" s="46" cm="1">
        <f t="array" ref="E951">_xlfn.XLOOKUP(C951,customers[Customer ID],customers[Age],"")</f>
        <v>36</v>
      </c>
      <c r="F951" s="46" t="str" cm="1">
        <f t="array" ref="F951">_xlfn.XLOOKUP(C951,customers[Customer ID],customers[City],"")</f>
        <v>Cincinnati</v>
      </c>
      <c r="G951">
        <v>126</v>
      </c>
      <c r="H951" s="47" t="s">
        <v>39</v>
      </c>
      <c r="I951" s="48">
        <v>45261</v>
      </c>
      <c r="J951">
        <v>33</v>
      </c>
      <c r="K951">
        <v>4.8</v>
      </c>
      <c r="L951">
        <f>IF(MONTH(calls[[#This Row],[Date of Call]])&lt;=6,YEAR(calls[[#This Row],[Date of Call]]),YEAR(calls[[#This Row],[Date of Call]])+1)</f>
        <v>2024</v>
      </c>
      <c r="M951" t="str">
        <f>TEXT(calls[[#This Row],[Date of Call]],"DDDD")</f>
        <v>Friday</v>
      </c>
      <c r="N951" t="str" cm="1">
        <f t="array" ref="N95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51">
        <f>ROUND(calls[[#This Row],[Satisfaction Rating]],0)</f>
        <v>5</v>
      </c>
      <c r="P951" s="53">
        <f t="shared" si="14"/>
        <v>307</v>
      </c>
    </row>
    <row r="952" spans="2:16">
      <c r="B952" t="s">
        <v>1032</v>
      </c>
      <c r="C952" t="s">
        <v>73</v>
      </c>
      <c r="D952" s="46" t="str" cm="1">
        <f t="array" ref="D952">_xlfn.XLOOKUP(C952,customers[Customer ID],customers[Gender],"")</f>
        <v>Female</v>
      </c>
      <c r="E952" s="46" cm="1">
        <f t="array" ref="E952">_xlfn.XLOOKUP(C952,customers[Customer ID],customers[Age],"")</f>
        <v>38</v>
      </c>
      <c r="F952" s="46" t="str" cm="1">
        <f t="array" ref="F952">_xlfn.XLOOKUP(C952,customers[Customer ID],customers[City],"")</f>
        <v>Columbus</v>
      </c>
      <c r="G952">
        <v>79</v>
      </c>
      <c r="H952" s="47" t="s">
        <v>38</v>
      </c>
      <c r="I952" s="48">
        <v>45261</v>
      </c>
      <c r="J952">
        <v>115</v>
      </c>
      <c r="K952">
        <v>2.3</v>
      </c>
      <c r="L952">
        <f>IF(MONTH(calls[[#This Row],[Date of Call]])&lt;=6,YEAR(calls[[#This Row],[Date of Call]]),YEAR(calls[[#This Row],[Date of Call]])+1)</f>
        <v>2024</v>
      </c>
      <c r="M952" t="str">
        <f>TEXT(calls[[#This Row],[Date of Call]],"DDDD")</f>
        <v>Friday</v>
      </c>
      <c r="N952" t="str" cm="1">
        <f t="array" ref="N95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52">
        <f>ROUND(calls[[#This Row],[Satisfaction Rating]],0)</f>
        <v>2</v>
      </c>
      <c r="P952" s="53">
        <f t="shared" si="14"/>
        <v>307</v>
      </c>
    </row>
    <row r="953" spans="2:16">
      <c r="B953" t="s">
        <v>1033</v>
      </c>
      <c r="C953" t="s">
        <v>60</v>
      </c>
      <c r="D953" s="46" t="str" cm="1">
        <f t="array" ref="D953">_xlfn.XLOOKUP(C953,customers[Customer ID],customers[Gender],"")</f>
        <v>Male</v>
      </c>
      <c r="E953" s="46" cm="1">
        <f t="array" ref="E953">_xlfn.XLOOKUP(C953,customers[Customer ID],customers[Age],"")</f>
        <v>36</v>
      </c>
      <c r="F953" s="46" t="str" cm="1">
        <f t="array" ref="F953">_xlfn.XLOOKUP(C953,customers[Customer ID],customers[City],"")</f>
        <v>Cincinnati</v>
      </c>
      <c r="G953">
        <v>133</v>
      </c>
      <c r="H953" s="47" t="s">
        <v>39</v>
      </c>
      <c r="I953" s="48">
        <v>45261</v>
      </c>
      <c r="J953">
        <v>45</v>
      </c>
      <c r="K953">
        <v>2.6</v>
      </c>
      <c r="L953">
        <f>IF(MONTH(calls[[#This Row],[Date of Call]])&lt;=6,YEAR(calls[[#This Row],[Date of Call]]),YEAR(calls[[#This Row],[Date of Call]])+1)</f>
        <v>2024</v>
      </c>
      <c r="M953" t="str">
        <f>TEXT(calls[[#This Row],[Date of Call]],"DDDD")</f>
        <v>Friday</v>
      </c>
      <c r="N953" t="str" cm="1">
        <f t="array" ref="N95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53">
        <f>ROUND(calls[[#This Row],[Satisfaction Rating]],0)</f>
        <v>3</v>
      </c>
      <c r="P953" s="53">
        <f t="shared" si="14"/>
        <v>307</v>
      </c>
    </row>
    <row r="954" spans="2:16">
      <c r="B954" t="s">
        <v>1034</v>
      </c>
      <c r="C954" t="s">
        <v>66</v>
      </c>
      <c r="D954" s="46" t="str" cm="1">
        <f t="array" ref="D954">_xlfn.XLOOKUP(C954,customers[Customer ID],customers[Gender],"")</f>
        <v>Female</v>
      </c>
      <c r="E954" s="46" cm="1">
        <f t="array" ref="E954">_xlfn.XLOOKUP(C954,customers[Customer ID],customers[Age],"")</f>
        <v>30</v>
      </c>
      <c r="F954" s="46" t="str" cm="1">
        <f t="array" ref="F954">_xlfn.XLOOKUP(C954,customers[Customer ID],customers[City],"")</f>
        <v>Cleveland</v>
      </c>
      <c r="G954">
        <v>97</v>
      </c>
      <c r="H954" s="47" t="s">
        <v>40</v>
      </c>
      <c r="I954" s="48">
        <v>45261</v>
      </c>
      <c r="J954">
        <v>114</v>
      </c>
      <c r="K954">
        <v>4.8</v>
      </c>
      <c r="L954">
        <f>IF(MONTH(calls[[#This Row],[Date of Call]])&lt;=6,YEAR(calls[[#This Row],[Date of Call]]),YEAR(calls[[#This Row],[Date of Call]])+1)</f>
        <v>2024</v>
      </c>
      <c r="M954" t="str">
        <f>TEXT(calls[[#This Row],[Date of Call]],"DDDD")</f>
        <v>Friday</v>
      </c>
      <c r="N954" t="str" cm="1">
        <f t="array" ref="N9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54">
        <f>ROUND(calls[[#This Row],[Satisfaction Rating]],0)</f>
        <v>5</v>
      </c>
      <c r="P954" s="53">
        <f t="shared" si="14"/>
        <v>307</v>
      </c>
    </row>
    <row r="955" spans="2:16">
      <c r="B955" t="s">
        <v>1035</v>
      </c>
      <c r="C955" t="s">
        <v>73</v>
      </c>
      <c r="D955" s="46" t="str" cm="1">
        <f t="array" ref="D955">_xlfn.XLOOKUP(C955,customers[Customer ID],customers[Gender],"")</f>
        <v>Female</v>
      </c>
      <c r="E955" s="46" cm="1">
        <f t="array" ref="E955">_xlfn.XLOOKUP(C955,customers[Customer ID],customers[Age],"")</f>
        <v>38</v>
      </c>
      <c r="F955" s="46" t="str" cm="1">
        <f t="array" ref="F955">_xlfn.XLOOKUP(C955,customers[Customer ID],customers[City],"")</f>
        <v>Columbus</v>
      </c>
      <c r="G955">
        <v>102</v>
      </c>
      <c r="H955" s="47" t="s">
        <v>37</v>
      </c>
      <c r="I955" s="48">
        <v>45262</v>
      </c>
      <c r="J955">
        <v>72</v>
      </c>
      <c r="K955">
        <v>3.7</v>
      </c>
      <c r="L955">
        <f>IF(MONTH(calls[[#This Row],[Date of Call]])&lt;=6,YEAR(calls[[#This Row],[Date of Call]]),YEAR(calls[[#This Row],[Date of Call]])+1)</f>
        <v>2024</v>
      </c>
      <c r="M955" t="str">
        <f>TEXT(calls[[#This Row],[Date of Call]],"DDDD")</f>
        <v>Saturday</v>
      </c>
      <c r="N955" t="str" cm="1">
        <f t="array" ref="N9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55">
        <f>ROUND(calls[[#This Row],[Satisfaction Rating]],0)</f>
        <v>4</v>
      </c>
      <c r="P955" s="53">
        <f t="shared" si="14"/>
        <v>307</v>
      </c>
    </row>
    <row r="956" spans="2:16">
      <c r="B956" t="s">
        <v>1036</v>
      </c>
      <c r="C956" t="s">
        <v>71</v>
      </c>
      <c r="D956" s="46" t="str" cm="1">
        <f t="array" ref="D956">_xlfn.XLOOKUP(C956,customers[Customer ID],customers[Gender],"")</f>
        <v>Male</v>
      </c>
      <c r="E956" s="46" cm="1">
        <f t="array" ref="E956">_xlfn.XLOOKUP(C956,customers[Customer ID],customers[Age],"")</f>
        <v>23</v>
      </c>
      <c r="F956" s="46" t="str" cm="1">
        <f t="array" ref="F956">_xlfn.XLOOKUP(C956,customers[Customer ID],customers[City],"")</f>
        <v>Columbus</v>
      </c>
      <c r="G956">
        <v>62</v>
      </c>
      <c r="H956" s="47" t="s">
        <v>40</v>
      </c>
      <c r="I956" s="48">
        <v>45262</v>
      </c>
      <c r="J956">
        <v>205</v>
      </c>
      <c r="K956">
        <v>4.2</v>
      </c>
      <c r="L956">
        <f>IF(MONTH(calls[[#This Row],[Date of Call]])&lt;=6,YEAR(calls[[#This Row],[Date of Call]]),YEAR(calls[[#This Row],[Date of Call]])+1)</f>
        <v>2024</v>
      </c>
      <c r="M956" t="str">
        <f>TEXT(calls[[#This Row],[Date of Call]],"DDDD")</f>
        <v>Saturday</v>
      </c>
      <c r="N956" t="str" cm="1">
        <f t="array" ref="N9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56">
        <f>ROUND(calls[[#This Row],[Satisfaction Rating]],0)</f>
        <v>4</v>
      </c>
      <c r="P956" s="53">
        <f t="shared" si="14"/>
        <v>307</v>
      </c>
    </row>
    <row r="957" spans="2:16">
      <c r="B957" t="s">
        <v>1037</v>
      </c>
      <c r="C957" t="s">
        <v>60</v>
      </c>
      <c r="D957" s="46" t="str" cm="1">
        <f t="array" ref="D957">_xlfn.XLOOKUP(C957,customers[Customer ID],customers[Gender],"")</f>
        <v>Male</v>
      </c>
      <c r="E957" s="46" cm="1">
        <f t="array" ref="E957">_xlfn.XLOOKUP(C957,customers[Customer ID],customers[Age],"")</f>
        <v>36</v>
      </c>
      <c r="F957" s="46" t="str" cm="1">
        <f t="array" ref="F957">_xlfn.XLOOKUP(C957,customers[Customer ID],customers[City],"")</f>
        <v>Cincinnati</v>
      </c>
      <c r="G957">
        <v>149</v>
      </c>
      <c r="H957" s="47" t="s">
        <v>37</v>
      </c>
      <c r="I957" s="48">
        <v>45263</v>
      </c>
      <c r="J957">
        <v>42</v>
      </c>
      <c r="K957">
        <v>3.3</v>
      </c>
      <c r="L957">
        <f>IF(MONTH(calls[[#This Row],[Date of Call]])&lt;=6,YEAR(calls[[#This Row],[Date of Call]]),YEAR(calls[[#This Row],[Date of Call]])+1)</f>
        <v>2024</v>
      </c>
      <c r="M957" t="str">
        <f>TEXT(calls[[#This Row],[Date of Call]],"DDDD")</f>
        <v>Sunday</v>
      </c>
      <c r="N957" t="str" cm="1">
        <f t="array" ref="N95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57">
        <f>ROUND(calls[[#This Row],[Satisfaction Rating]],0)</f>
        <v>3</v>
      </c>
      <c r="P957" s="53">
        <f t="shared" si="14"/>
        <v>307</v>
      </c>
    </row>
    <row r="958" spans="2:16">
      <c r="B958" t="s">
        <v>1038</v>
      </c>
      <c r="C958" t="s">
        <v>67</v>
      </c>
      <c r="D958" s="46" t="str" cm="1">
        <f t="array" ref="D958">_xlfn.XLOOKUP(C958,customers[Customer ID],customers[Gender],"")</f>
        <v>Female</v>
      </c>
      <c r="E958" s="46" cm="1">
        <f t="array" ref="E958">_xlfn.XLOOKUP(C958,customers[Customer ID],customers[Age],"")</f>
        <v>37</v>
      </c>
      <c r="F958" s="46" t="str" cm="1">
        <f t="array" ref="F958">_xlfn.XLOOKUP(C958,customers[Customer ID],customers[City],"")</f>
        <v>Cleveland</v>
      </c>
      <c r="G958">
        <v>133</v>
      </c>
      <c r="H958" s="47" t="s">
        <v>40</v>
      </c>
      <c r="I958" s="48">
        <v>45263</v>
      </c>
      <c r="J958">
        <v>96</v>
      </c>
      <c r="K958">
        <v>4.3</v>
      </c>
      <c r="L958">
        <f>IF(MONTH(calls[[#This Row],[Date of Call]])&lt;=6,YEAR(calls[[#This Row],[Date of Call]]),YEAR(calls[[#This Row],[Date of Call]])+1)</f>
        <v>2024</v>
      </c>
      <c r="M958" t="str">
        <f>TEXT(calls[[#This Row],[Date of Call]],"DDDD")</f>
        <v>Sunday</v>
      </c>
      <c r="N958" t="str" cm="1">
        <f t="array" ref="N95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58">
        <f>ROUND(calls[[#This Row],[Satisfaction Rating]],0)</f>
        <v>4</v>
      </c>
      <c r="P958" s="53">
        <f t="shared" si="14"/>
        <v>307</v>
      </c>
    </row>
    <row r="959" spans="2:16">
      <c r="B959" t="s">
        <v>1039</v>
      </c>
      <c r="C959" t="s">
        <v>73</v>
      </c>
      <c r="D959" s="46" t="str" cm="1">
        <f t="array" ref="D959">_xlfn.XLOOKUP(C959,customers[Customer ID],customers[Gender],"")</f>
        <v>Female</v>
      </c>
      <c r="E959" s="46" cm="1">
        <f t="array" ref="E959">_xlfn.XLOOKUP(C959,customers[Customer ID],customers[Age],"")</f>
        <v>38</v>
      </c>
      <c r="F959" s="46" t="str" cm="1">
        <f t="array" ref="F959">_xlfn.XLOOKUP(C959,customers[Customer ID],customers[City],"")</f>
        <v>Columbus</v>
      </c>
      <c r="G959">
        <v>51</v>
      </c>
      <c r="H959" s="47" t="s">
        <v>38</v>
      </c>
      <c r="I959" s="48">
        <v>45263</v>
      </c>
      <c r="J959">
        <v>64</v>
      </c>
      <c r="K959">
        <v>3.7</v>
      </c>
      <c r="L959">
        <f>IF(MONTH(calls[[#This Row],[Date of Call]])&lt;=6,YEAR(calls[[#This Row],[Date of Call]]),YEAR(calls[[#This Row],[Date of Call]])+1)</f>
        <v>2024</v>
      </c>
      <c r="M959" t="str">
        <f>TEXT(calls[[#This Row],[Date of Call]],"DDDD")</f>
        <v>Sunday</v>
      </c>
      <c r="N959" t="str" cm="1">
        <f t="array" ref="N95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59">
        <f>ROUND(calls[[#This Row],[Satisfaction Rating]],0)</f>
        <v>4</v>
      </c>
      <c r="P959" s="53">
        <f t="shared" si="14"/>
        <v>307</v>
      </c>
    </row>
    <row r="960" spans="2:16">
      <c r="B960" t="s">
        <v>1040</v>
      </c>
      <c r="C960" t="s">
        <v>71</v>
      </c>
      <c r="D960" s="46" t="str" cm="1">
        <f t="array" ref="D960">_xlfn.XLOOKUP(C960,customers[Customer ID],customers[Gender],"")</f>
        <v>Male</v>
      </c>
      <c r="E960" s="46" cm="1">
        <f t="array" ref="E960">_xlfn.XLOOKUP(C960,customers[Customer ID],customers[Age],"")</f>
        <v>23</v>
      </c>
      <c r="F960" s="46" t="str" cm="1">
        <f t="array" ref="F960">_xlfn.XLOOKUP(C960,customers[Customer ID],customers[City],"")</f>
        <v>Columbus</v>
      </c>
      <c r="G960">
        <v>110</v>
      </c>
      <c r="H960" s="47" t="s">
        <v>40</v>
      </c>
      <c r="I960" s="48">
        <v>45264</v>
      </c>
      <c r="J960">
        <v>72</v>
      </c>
      <c r="K960">
        <v>3.7</v>
      </c>
      <c r="L960">
        <f>IF(MONTH(calls[[#This Row],[Date of Call]])&lt;=6,YEAR(calls[[#This Row],[Date of Call]]),YEAR(calls[[#This Row],[Date of Call]])+1)</f>
        <v>2024</v>
      </c>
      <c r="M960" t="str">
        <f>TEXT(calls[[#This Row],[Date of Call]],"DDDD")</f>
        <v>Monday</v>
      </c>
      <c r="N960" t="str" cm="1">
        <f t="array" ref="N9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60">
        <f>ROUND(calls[[#This Row],[Satisfaction Rating]],0)</f>
        <v>4</v>
      </c>
      <c r="P960" s="53">
        <f t="shared" si="14"/>
        <v>307</v>
      </c>
    </row>
    <row r="961" spans="2:16">
      <c r="B961" t="s">
        <v>1041</v>
      </c>
      <c r="C961" t="s">
        <v>66</v>
      </c>
      <c r="D961" s="46" t="str" cm="1">
        <f t="array" ref="D961">_xlfn.XLOOKUP(C961,customers[Customer ID],customers[Gender],"")</f>
        <v>Female</v>
      </c>
      <c r="E961" s="46" cm="1">
        <f t="array" ref="E961">_xlfn.XLOOKUP(C961,customers[Customer ID],customers[Age],"")</f>
        <v>30</v>
      </c>
      <c r="F961" s="46" t="str" cm="1">
        <f t="array" ref="F961">_xlfn.XLOOKUP(C961,customers[Customer ID],customers[City],"")</f>
        <v>Cleveland</v>
      </c>
      <c r="G961">
        <v>38</v>
      </c>
      <c r="H961" s="47" t="s">
        <v>39</v>
      </c>
      <c r="I961" s="48">
        <v>45265</v>
      </c>
      <c r="J961">
        <v>27</v>
      </c>
      <c r="K961">
        <v>3.1</v>
      </c>
      <c r="L961">
        <f>IF(MONTH(calls[[#This Row],[Date of Call]])&lt;=6,YEAR(calls[[#This Row],[Date of Call]]),YEAR(calls[[#This Row],[Date of Call]])+1)</f>
        <v>2024</v>
      </c>
      <c r="M961" t="str">
        <f>TEXT(calls[[#This Row],[Date of Call]],"DDDD")</f>
        <v>Tuesday</v>
      </c>
      <c r="N961" t="str" cm="1">
        <f t="array" ref="N96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61">
        <f>ROUND(calls[[#This Row],[Satisfaction Rating]],0)</f>
        <v>3</v>
      </c>
      <c r="P961" s="53">
        <f t="shared" si="14"/>
        <v>307</v>
      </c>
    </row>
    <row r="962" spans="2:16">
      <c r="B962" t="s">
        <v>1042</v>
      </c>
      <c r="C962" t="s">
        <v>67</v>
      </c>
      <c r="D962" s="46" t="str" cm="1">
        <f t="array" ref="D962">_xlfn.XLOOKUP(C962,customers[Customer ID],customers[Gender],"")</f>
        <v>Female</v>
      </c>
      <c r="E962" s="46" cm="1">
        <f t="array" ref="E962">_xlfn.XLOOKUP(C962,customers[Customer ID],customers[Age],"")</f>
        <v>37</v>
      </c>
      <c r="F962" s="46" t="str" cm="1">
        <f t="array" ref="F962">_xlfn.XLOOKUP(C962,customers[Customer ID],customers[City],"")</f>
        <v>Cleveland</v>
      </c>
      <c r="G962">
        <v>78</v>
      </c>
      <c r="H962" s="47" t="s">
        <v>39</v>
      </c>
      <c r="I962" s="48">
        <v>45267</v>
      </c>
      <c r="J962">
        <v>200</v>
      </c>
      <c r="K962">
        <v>2.4</v>
      </c>
      <c r="L962">
        <f>IF(MONTH(calls[[#This Row],[Date of Call]])&lt;=6,YEAR(calls[[#This Row],[Date of Call]]),YEAR(calls[[#This Row],[Date of Call]])+1)</f>
        <v>2024</v>
      </c>
      <c r="M962" t="str">
        <f>TEXT(calls[[#This Row],[Date of Call]],"DDDD")</f>
        <v>Thursday</v>
      </c>
      <c r="N962" t="str" cm="1">
        <f t="array" ref="N9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62">
        <f>ROUND(calls[[#This Row],[Satisfaction Rating]],0)</f>
        <v>2</v>
      </c>
      <c r="P962" s="53">
        <f t="shared" si="14"/>
        <v>307</v>
      </c>
    </row>
    <row r="963" spans="2:16">
      <c r="B963" t="s">
        <v>1043</v>
      </c>
      <c r="C963" t="s">
        <v>66</v>
      </c>
      <c r="D963" s="46" t="str" cm="1">
        <f t="array" ref="D963">_xlfn.XLOOKUP(C963,customers[Customer ID],customers[Gender],"")</f>
        <v>Female</v>
      </c>
      <c r="E963" s="46" cm="1">
        <f t="array" ref="E963">_xlfn.XLOOKUP(C963,customers[Customer ID],customers[Age],"")</f>
        <v>30</v>
      </c>
      <c r="F963" s="46" t="str" cm="1">
        <f t="array" ref="F963">_xlfn.XLOOKUP(C963,customers[Customer ID],customers[City],"")</f>
        <v>Cleveland</v>
      </c>
      <c r="G963">
        <v>25</v>
      </c>
      <c r="H963" s="47" t="s">
        <v>37</v>
      </c>
      <c r="I963" s="48">
        <v>45268</v>
      </c>
      <c r="J963">
        <v>93</v>
      </c>
      <c r="K963">
        <v>3.5</v>
      </c>
      <c r="L963">
        <f>IF(MONTH(calls[[#This Row],[Date of Call]])&lt;=6,YEAR(calls[[#This Row],[Date of Call]]),YEAR(calls[[#This Row],[Date of Call]])+1)</f>
        <v>2024</v>
      </c>
      <c r="M963" t="str">
        <f>TEXT(calls[[#This Row],[Date of Call]],"DDDD")</f>
        <v>Friday</v>
      </c>
      <c r="N963" t="str" cm="1">
        <f t="array" ref="N96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O963">
        <f>ROUND(calls[[#This Row],[Satisfaction Rating]],0)</f>
        <v>4</v>
      </c>
      <c r="P963" s="53">
        <f t="shared" si="14"/>
        <v>307</v>
      </c>
    </row>
    <row r="964" spans="2:16">
      <c r="B964" t="s">
        <v>1044</v>
      </c>
      <c r="C964" t="s">
        <v>62</v>
      </c>
      <c r="D964" s="46" t="str" cm="1">
        <f t="array" ref="D964">_xlfn.XLOOKUP(C964,customers[Customer ID],customers[Gender],"")</f>
        <v>Female</v>
      </c>
      <c r="E964" s="46" cm="1">
        <f t="array" ref="E964">_xlfn.XLOOKUP(C964,customers[Customer ID],customers[Age],"")</f>
        <v>28</v>
      </c>
      <c r="F964" s="46" t="str" cm="1">
        <f t="array" ref="F964">_xlfn.XLOOKUP(C964,customers[Customer ID],customers[City],"")</f>
        <v>Cincinnati</v>
      </c>
      <c r="G964">
        <v>50</v>
      </c>
      <c r="H964" s="47" t="s">
        <v>38</v>
      </c>
      <c r="I964" s="48">
        <v>45268</v>
      </c>
      <c r="J964">
        <v>54</v>
      </c>
      <c r="K964">
        <v>4.3</v>
      </c>
      <c r="L964">
        <f>IF(MONTH(calls[[#This Row],[Date of Call]])&lt;=6,YEAR(calls[[#This Row],[Date of Call]]),YEAR(calls[[#This Row],[Date of Call]])+1)</f>
        <v>2024</v>
      </c>
      <c r="M964" t="str">
        <f>TEXT(calls[[#This Row],[Date of Call]],"DDDD")</f>
        <v>Friday</v>
      </c>
      <c r="N964" t="str" cm="1">
        <f t="array" ref="N96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64">
        <f>ROUND(calls[[#This Row],[Satisfaction Rating]],0)</f>
        <v>4</v>
      </c>
      <c r="P964" s="53">
        <f t="shared" ref="P964:P1003" si="15">COUNTIF(O:O,5)</f>
        <v>307</v>
      </c>
    </row>
    <row r="965" spans="2:16">
      <c r="B965" t="s">
        <v>1045</v>
      </c>
      <c r="C965" t="s">
        <v>66</v>
      </c>
      <c r="D965" s="46" t="str" cm="1">
        <f t="array" ref="D965">_xlfn.XLOOKUP(C965,customers[Customer ID],customers[Gender],"")</f>
        <v>Female</v>
      </c>
      <c r="E965" s="46" cm="1">
        <f t="array" ref="E965">_xlfn.XLOOKUP(C965,customers[Customer ID],customers[Age],"")</f>
        <v>30</v>
      </c>
      <c r="F965" s="46" t="str" cm="1">
        <f t="array" ref="F965">_xlfn.XLOOKUP(C965,customers[Customer ID],customers[City],"")</f>
        <v>Cleveland</v>
      </c>
      <c r="G965">
        <v>103</v>
      </c>
      <c r="H965" s="47" t="s">
        <v>37</v>
      </c>
      <c r="I965" s="48">
        <v>45269</v>
      </c>
      <c r="J965">
        <v>72</v>
      </c>
      <c r="K965">
        <v>3.4</v>
      </c>
      <c r="L965">
        <f>IF(MONTH(calls[[#This Row],[Date of Call]])&lt;=6,YEAR(calls[[#This Row],[Date of Call]]),YEAR(calls[[#This Row],[Date of Call]])+1)</f>
        <v>2024</v>
      </c>
      <c r="M965" t="str">
        <f>TEXT(calls[[#This Row],[Date of Call]],"DDDD")</f>
        <v>Saturday</v>
      </c>
      <c r="N965" t="str" cm="1">
        <f t="array" ref="N96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65">
        <f>ROUND(calls[[#This Row],[Satisfaction Rating]],0)</f>
        <v>3</v>
      </c>
      <c r="P965" s="53">
        <f t="shared" si="15"/>
        <v>307</v>
      </c>
    </row>
    <row r="966" spans="2:16">
      <c r="B966" t="s">
        <v>1046</v>
      </c>
      <c r="C966" t="s">
        <v>72</v>
      </c>
      <c r="D966" s="46" t="str" cm="1">
        <f t="array" ref="D966">_xlfn.XLOOKUP(C966,customers[Customer ID],customers[Gender],"")</f>
        <v>Female</v>
      </c>
      <c r="E966" s="46" cm="1">
        <f t="array" ref="E966">_xlfn.XLOOKUP(C966,customers[Customer ID],customers[Age],"")</f>
        <v>25</v>
      </c>
      <c r="F966" s="46" t="str" cm="1">
        <f t="array" ref="F966">_xlfn.XLOOKUP(C966,customers[Customer ID],customers[City],"")</f>
        <v>Columbus</v>
      </c>
      <c r="G966">
        <v>63</v>
      </c>
      <c r="H966" s="47" t="s">
        <v>36</v>
      </c>
      <c r="I966" s="48">
        <v>45269</v>
      </c>
      <c r="J966">
        <v>82</v>
      </c>
      <c r="K966">
        <v>3.7</v>
      </c>
      <c r="L966">
        <f>IF(MONTH(calls[[#This Row],[Date of Call]])&lt;=6,YEAR(calls[[#This Row],[Date of Call]]),YEAR(calls[[#This Row],[Date of Call]])+1)</f>
        <v>2024</v>
      </c>
      <c r="M966" t="str">
        <f>TEXT(calls[[#This Row],[Date of Call]],"DDDD")</f>
        <v>Saturday</v>
      </c>
      <c r="N966" t="str" cm="1">
        <f t="array" ref="N96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66">
        <f>ROUND(calls[[#This Row],[Satisfaction Rating]],0)</f>
        <v>4</v>
      </c>
      <c r="P966" s="53">
        <f t="shared" si="15"/>
        <v>307</v>
      </c>
    </row>
    <row r="967" spans="2:16">
      <c r="B967" t="s">
        <v>1047</v>
      </c>
      <c r="C967" t="s">
        <v>62</v>
      </c>
      <c r="D967" s="46" t="str" cm="1">
        <f t="array" ref="D967">_xlfn.XLOOKUP(C967,customers[Customer ID],customers[Gender],"")</f>
        <v>Female</v>
      </c>
      <c r="E967" s="46" cm="1">
        <f t="array" ref="E967">_xlfn.XLOOKUP(C967,customers[Customer ID],customers[Age],"")</f>
        <v>28</v>
      </c>
      <c r="F967" s="46" t="str" cm="1">
        <f t="array" ref="F967">_xlfn.XLOOKUP(C967,customers[Customer ID],customers[City],"")</f>
        <v>Cincinnati</v>
      </c>
      <c r="G967">
        <v>96</v>
      </c>
      <c r="H967" s="47" t="s">
        <v>38</v>
      </c>
      <c r="I967" s="48">
        <v>45273</v>
      </c>
      <c r="J967">
        <v>164</v>
      </c>
      <c r="K967">
        <v>4.8</v>
      </c>
      <c r="L967">
        <f>IF(MONTH(calls[[#This Row],[Date of Call]])&lt;=6,YEAR(calls[[#This Row],[Date of Call]]),YEAR(calls[[#This Row],[Date of Call]])+1)</f>
        <v>2024</v>
      </c>
      <c r="M967" t="str">
        <f>TEXT(calls[[#This Row],[Date of Call]],"DDDD")</f>
        <v>Wednesday</v>
      </c>
      <c r="N967" t="str" cm="1">
        <f t="array" ref="N9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67">
        <f>ROUND(calls[[#This Row],[Satisfaction Rating]],0)</f>
        <v>5</v>
      </c>
      <c r="P967" s="53">
        <f t="shared" si="15"/>
        <v>307</v>
      </c>
    </row>
    <row r="968" spans="2:16">
      <c r="B968" t="s">
        <v>1048</v>
      </c>
      <c r="C968" t="s">
        <v>70</v>
      </c>
      <c r="D968" s="46" t="str" cm="1">
        <f t="array" ref="D968">_xlfn.XLOOKUP(C968,customers[Customer ID],customers[Gender],"")</f>
        <v>Male</v>
      </c>
      <c r="E968" s="46" cm="1">
        <f t="array" ref="E968">_xlfn.XLOOKUP(C968,customers[Customer ID],customers[Age],"")</f>
        <v>37</v>
      </c>
      <c r="F968" s="46" t="str" cm="1">
        <f t="array" ref="F968">_xlfn.XLOOKUP(C968,customers[Customer ID],customers[City],"")</f>
        <v>Columbus</v>
      </c>
      <c r="G968">
        <v>94</v>
      </c>
      <c r="H968" s="47" t="s">
        <v>37</v>
      </c>
      <c r="I968" s="48">
        <v>45273</v>
      </c>
      <c r="J968">
        <v>78</v>
      </c>
      <c r="K968">
        <v>3.3</v>
      </c>
      <c r="L968">
        <f>IF(MONTH(calls[[#This Row],[Date of Call]])&lt;=6,YEAR(calls[[#This Row],[Date of Call]]),YEAR(calls[[#This Row],[Date of Call]])+1)</f>
        <v>2024</v>
      </c>
      <c r="M968" t="str">
        <f>TEXT(calls[[#This Row],[Date of Call]],"DDDD")</f>
        <v>Wednesday</v>
      </c>
      <c r="N968" t="str" cm="1">
        <f t="array" ref="N96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68">
        <f>ROUND(calls[[#This Row],[Satisfaction Rating]],0)</f>
        <v>3</v>
      </c>
      <c r="P968" s="53">
        <f t="shared" si="15"/>
        <v>307</v>
      </c>
    </row>
    <row r="969" spans="2:16">
      <c r="B969" t="s">
        <v>1049</v>
      </c>
      <c r="C969" t="s">
        <v>71</v>
      </c>
      <c r="D969" s="46" t="str" cm="1">
        <f t="array" ref="D969">_xlfn.XLOOKUP(C969,customers[Customer ID],customers[Gender],"")</f>
        <v>Male</v>
      </c>
      <c r="E969" s="46" cm="1">
        <f t="array" ref="E969">_xlfn.XLOOKUP(C969,customers[Customer ID],customers[Age],"")</f>
        <v>23</v>
      </c>
      <c r="F969" s="46" t="str" cm="1">
        <f t="array" ref="F969">_xlfn.XLOOKUP(C969,customers[Customer ID],customers[City],"")</f>
        <v>Columbus</v>
      </c>
      <c r="G969">
        <v>46</v>
      </c>
      <c r="H969" s="47" t="s">
        <v>39</v>
      </c>
      <c r="I969" s="48">
        <v>45274</v>
      </c>
      <c r="J969">
        <v>135</v>
      </c>
      <c r="K969">
        <v>4.2</v>
      </c>
      <c r="L969">
        <f>IF(MONTH(calls[[#This Row],[Date of Call]])&lt;=6,YEAR(calls[[#This Row],[Date of Call]]),YEAR(calls[[#This Row],[Date of Call]])+1)</f>
        <v>2024</v>
      </c>
      <c r="M969" t="str">
        <f>TEXT(calls[[#This Row],[Date of Call]],"DDDD")</f>
        <v>Thursday</v>
      </c>
      <c r="N969" t="str" cm="1">
        <f t="array" ref="N96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69">
        <f>ROUND(calls[[#This Row],[Satisfaction Rating]],0)</f>
        <v>4</v>
      </c>
      <c r="P969" s="53">
        <f t="shared" si="15"/>
        <v>307</v>
      </c>
    </row>
    <row r="970" spans="2:16">
      <c r="B970" t="s">
        <v>1050</v>
      </c>
      <c r="C970" t="s">
        <v>65</v>
      </c>
      <c r="D970" s="46" t="str" cm="1">
        <f t="array" ref="D970">_xlfn.XLOOKUP(C970,customers[Customer ID],customers[Gender],"")</f>
        <v>Female</v>
      </c>
      <c r="E970" s="46" cm="1">
        <f t="array" ref="E970">_xlfn.XLOOKUP(C970,customers[Customer ID],customers[Age],"")</f>
        <v>42</v>
      </c>
      <c r="F970" s="46" t="str" cm="1">
        <f t="array" ref="F970">_xlfn.XLOOKUP(C970,customers[Customer ID],customers[City],"")</f>
        <v>Cleveland</v>
      </c>
      <c r="G970">
        <v>127</v>
      </c>
      <c r="H970" s="47" t="s">
        <v>38</v>
      </c>
      <c r="I970" s="48">
        <v>45275</v>
      </c>
      <c r="J970">
        <v>145</v>
      </c>
      <c r="K970">
        <v>2.6</v>
      </c>
      <c r="L970">
        <f>IF(MONTH(calls[[#This Row],[Date of Call]])&lt;=6,YEAR(calls[[#This Row],[Date of Call]]),YEAR(calls[[#This Row],[Date of Call]])+1)</f>
        <v>2024</v>
      </c>
      <c r="M970" t="str">
        <f>TEXT(calls[[#This Row],[Date of Call]],"DDDD")</f>
        <v>Friday</v>
      </c>
      <c r="N970" t="str" cm="1">
        <f t="array" ref="N97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70">
        <f>ROUND(calls[[#This Row],[Satisfaction Rating]],0)</f>
        <v>3</v>
      </c>
      <c r="P970" s="53">
        <f t="shared" si="15"/>
        <v>307</v>
      </c>
    </row>
    <row r="971" spans="2:16">
      <c r="B971" t="s">
        <v>1051</v>
      </c>
      <c r="C971" t="s">
        <v>64</v>
      </c>
      <c r="D971" s="46" t="str" cm="1">
        <f t="array" ref="D971">_xlfn.XLOOKUP(C971,customers[Customer ID],customers[Gender],"")</f>
        <v>Female</v>
      </c>
      <c r="E971" s="46" cm="1">
        <f t="array" ref="E971">_xlfn.XLOOKUP(C971,customers[Customer ID],customers[Age],"")</f>
        <v>22</v>
      </c>
      <c r="F971" s="46" t="str" cm="1">
        <f t="array" ref="F971">_xlfn.XLOOKUP(C971,customers[Customer ID],customers[City],"")</f>
        <v>Cleveland</v>
      </c>
      <c r="G971">
        <v>96</v>
      </c>
      <c r="H971" s="47" t="s">
        <v>39</v>
      </c>
      <c r="I971" s="48">
        <v>45275</v>
      </c>
      <c r="J971">
        <v>115</v>
      </c>
      <c r="K971">
        <v>4.9</v>
      </c>
      <c r="L971">
        <f>IF(MONTH(calls[[#This Row],[Date of Call]])&lt;=6,YEAR(calls[[#This Row],[Date of Call]]),YEAR(calls[[#This Row],[Date of Call]])+1)</f>
        <v>2024</v>
      </c>
      <c r="M971" t="str">
        <f>TEXT(calls[[#This Row],[Date of Call]],"DDDD")</f>
        <v>Friday</v>
      </c>
      <c r="N971" t="str" cm="1">
        <f t="array" ref="N97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71">
        <f>ROUND(calls[[#This Row],[Satisfaction Rating]],0)</f>
        <v>5</v>
      </c>
      <c r="P971" s="53">
        <f t="shared" si="15"/>
        <v>307</v>
      </c>
    </row>
    <row r="972" spans="2:16">
      <c r="B972" t="s">
        <v>1052</v>
      </c>
      <c r="C972" t="s">
        <v>69</v>
      </c>
      <c r="D972" s="46" t="str" cm="1">
        <f t="array" ref="D972">_xlfn.XLOOKUP(C972,customers[Customer ID],customers[Gender],"")</f>
        <v>Male</v>
      </c>
      <c r="E972" s="46" cm="1">
        <f t="array" ref="E972">_xlfn.XLOOKUP(C972,customers[Customer ID],customers[Age],"")</f>
        <v>41</v>
      </c>
      <c r="F972" s="46" t="str" cm="1">
        <f t="array" ref="F972">_xlfn.XLOOKUP(C972,customers[Customer ID],customers[City],"")</f>
        <v>Columbus</v>
      </c>
      <c r="G972">
        <v>151</v>
      </c>
      <c r="H972" s="47" t="s">
        <v>37</v>
      </c>
      <c r="I972" s="48">
        <v>45275</v>
      </c>
      <c r="J972">
        <v>117</v>
      </c>
      <c r="K972">
        <v>2</v>
      </c>
      <c r="L972">
        <f>IF(MONTH(calls[[#This Row],[Date of Call]])&lt;=6,YEAR(calls[[#This Row],[Date of Call]]),YEAR(calls[[#This Row],[Date of Call]])+1)</f>
        <v>2024</v>
      </c>
      <c r="M972" t="str">
        <f>TEXT(calls[[#This Row],[Date of Call]],"DDDD")</f>
        <v>Friday</v>
      </c>
      <c r="N972" t="str" cm="1">
        <f t="array" ref="N97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72">
        <f>ROUND(calls[[#This Row],[Satisfaction Rating]],0)</f>
        <v>2</v>
      </c>
      <c r="P972" s="53">
        <f t="shared" si="15"/>
        <v>307</v>
      </c>
    </row>
    <row r="973" spans="2:16">
      <c r="B973" t="s">
        <v>1053</v>
      </c>
      <c r="C973" t="s">
        <v>65</v>
      </c>
      <c r="D973" s="46" t="str" cm="1">
        <f t="array" ref="D973">_xlfn.XLOOKUP(C973,customers[Customer ID],customers[Gender],"")</f>
        <v>Female</v>
      </c>
      <c r="E973" s="46" cm="1">
        <f t="array" ref="E973">_xlfn.XLOOKUP(C973,customers[Customer ID],customers[Age],"")</f>
        <v>42</v>
      </c>
      <c r="F973" s="46" t="str" cm="1">
        <f t="array" ref="F973">_xlfn.XLOOKUP(C973,customers[Customer ID],customers[City],"")</f>
        <v>Cleveland</v>
      </c>
      <c r="G973">
        <v>158</v>
      </c>
      <c r="H973" s="47" t="s">
        <v>40</v>
      </c>
      <c r="I973" s="48">
        <v>45276</v>
      </c>
      <c r="J973">
        <v>36</v>
      </c>
      <c r="K973">
        <v>4.7</v>
      </c>
      <c r="L973">
        <f>IF(MONTH(calls[[#This Row],[Date of Call]])&lt;=6,YEAR(calls[[#This Row],[Date of Call]]),YEAR(calls[[#This Row],[Date of Call]])+1)</f>
        <v>2024</v>
      </c>
      <c r="M973" t="str">
        <f>TEXT(calls[[#This Row],[Date of Call]],"DDDD")</f>
        <v>Saturday</v>
      </c>
      <c r="N973" t="str" cm="1">
        <f t="array" ref="N97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73">
        <f>ROUND(calls[[#This Row],[Satisfaction Rating]],0)</f>
        <v>5</v>
      </c>
      <c r="P973" s="53">
        <f t="shared" si="15"/>
        <v>307</v>
      </c>
    </row>
    <row r="974" spans="2:16">
      <c r="B974" t="s">
        <v>1054</v>
      </c>
      <c r="C974" t="s">
        <v>70</v>
      </c>
      <c r="D974" s="46" t="str" cm="1">
        <f t="array" ref="D974">_xlfn.XLOOKUP(C974,customers[Customer ID],customers[Gender],"")</f>
        <v>Male</v>
      </c>
      <c r="E974" s="46" cm="1">
        <f t="array" ref="E974">_xlfn.XLOOKUP(C974,customers[Customer ID],customers[Age],"")</f>
        <v>37</v>
      </c>
      <c r="F974" s="46" t="str" cm="1">
        <f t="array" ref="F974">_xlfn.XLOOKUP(C974,customers[Customer ID],customers[City],"")</f>
        <v>Columbus</v>
      </c>
      <c r="G974">
        <v>45</v>
      </c>
      <c r="H974" s="47" t="s">
        <v>40</v>
      </c>
      <c r="I974" s="48">
        <v>45276</v>
      </c>
      <c r="J974">
        <v>84</v>
      </c>
      <c r="K974">
        <v>2.8</v>
      </c>
      <c r="L974">
        <f>IF(MONTH(calls[[#This Row],[Date of Call]])&lt;=6,YEAR(calls[[#This Row],[Date of Call]]),YEAR(calls[[#This Row],[Date of Call]])+1)</f>
        <v>2024</v>
      </c>
      <c r="M974" t="str">
        <f>TEXT(calls[[#This Row],[Date of Call]],"DDDD")</f>
        <v>Saturday</v>
      </c>
      <c r="N974" t="str" cm="1">
        <f t="array" ref="N97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74">
        <f>ROUND(calls[[#This Row],[Satisfaction Rating]],0)</f>
        <v>3</v>
      </c>
      <c r="P974" s="53">
        <f t="shared" si="15"/>
        <v>307</v>
      </c>
    </row>
    <row r="975" spans="2:16">
      <c r="B975" t="s">
        <v>1055</v>
      </c>
      <c r="C975" t="s">
        <v>63</v>
      </c>
      <c r="D975" s="46" t="str" cm="1">
        <f t="array" ref="D975">_xlfn.XLOOKUP(C975,customers[Customer ID],customers[Gender],"")</f>
        <v>Male</v>
      </c>
      <c r="E975" s="46" cm="1">
        <f t="array" ref="E975">_xlfn.XLOOKUP(C975,customers[Customer ID],customers[Age],"")</f>
        <v>31</v>
      </c>
      <c r="F975" s="46" t="str" cm="1">
        <f t="array" ref="F975">_xlfn.XLOOKUP(C975,customers[Customer ID],customers[City],"")</f>
        <v>Cleveland</v>
      </c>
      <c r="G975">
        <v>141</v>
      </c>
      <c r="H975" s="47" t="s">
        <v>40</v>
      </c>
      <c r="I975" s="48">
        <v>45276</v>
      </c>
      <c r="J975">
        <v>66</v>
      </c>
      <c r="K975">
        <v>3.2</v>
      </c>
      <c r="L975">
        <f>IF(MONTH(calls[[#This Row],[Date of Call]])&lt;=6,YEAR(calls[[#This Row],[Date of Call]]),YEAR(calls[[#This Row],[Date of Call]])+1)</f>
        <v>2024</v>
      </c>
      <c r="M975" t="str">
        <f>TEXT(calls[[#This Row],[Date of Call]],"DDDD")</f>
        <v>Saturday</v>
      </c>
      <c r="N975" t="str" cm="1">
        <f t="array" ref="N97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75">
        <f>ROUND(calls[[#This Row],[Satisfaction Rating]],0)</f>
        <v>3</v>
      </c>
      <c r="P975" s="53">
        <f t="shared" si="15"/>
        <v>307</v>
      </c>
    </row>
    <row r="976" spans="2:16">
      <c r="B976" t="s">
        <v>1056</v>
      </c>
      <c r="C976" t="s">
        <v>66</v>
      </c>
      <c r="D976" s="46" t="str" cm="1">
        <f t="array" ref="D976">_xlfn.XLOOKUP(C976,customers[Customer ID],customers[Gender],"")</f>
        <v>Female</v>
      </c>
      <c r="E976" s="46" cm="1">
        <f t="array" ref="E976">_xlfn.XLOOKUP(C976,customers[Customer ID],customers[Age],"")</f>
        <v>30</v>
      </c>
      <c r="F976" s="46" t="str" cm="1">
        <f t="array" ref="F976">_xlfn.XLOOKUP(C976,customers[Customer ID],customers[City],"")</f>
        <v>Cleveland</v>
      </c>
      <c r="G976">
        <v>147</v>
      </c>
      <c r="H976" s="47" t="s">
        <v>39</v>
      </c>
      <c r="I976" s="48">
        <v>45276</v>
      </c>
      <c r="J976">
        <v>76</v>
      </c>
      <c r="K976">
        <v>4.7</v>
      </c>
      <c r="L976">
        <f>IF(MONTH(calls[[#This Row],[Date of Call]])&lt;=6,YEAR(calls[[#This Row],[Date of Call]]),YEAR(calls[[#This Row],[Date of Call]])+1)</f>
        <v>2024</v>
      </c>
      <c r="M976" t="str">
        <f>TEXT(calls[[#This Row],[Date of Call]],"DDDD")</f>
        <v>Saturday</v>
      </c>
      <c r="N976" t="str" cm="1">
        <f t="array" ref="N97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76">
        <f>ROUND(calls[[#This Row],[Satisfaction Rating]],0)</f>
        <v>5</v>
      </c>
      <c r="P976" s="53">
        <f t="shared" si="15"/>
        <v>307</v>
      </c>
    </row>
    <row r="977" spans="2:16">
      <c r="B977" t="s">
        <v>1057</v>
      </c>
      <c r="C977" t="s">
        <v>68</v>
      </c>
      <c r="D977" s="46" t="str" cm="1">
        <f t="array" ref="D977">_xlfn.XLOOKUP(C977,customers[Customer ID],customers[Gender],"")</f>
        <v>Female</v>
      </c>
      <c r="E977" s="46" cm="1">
        <f t="array" ref="E977">_xlfn.XLOOKUP(C977,customers[Customer ID],customers[Age],"")</f>
        <v>43</v>
      </c>
      <c r="F977" s="46" t="str" cm="1">
        <f t="array" ref="F977">_xlfn.XLOOKUP(C977,customers[Customer ID],customers[City],"")</f>
        <v>Cleveland</v>
      </c>
      <c r="G977">
        <v>126</v>
      </c>
      <c r="H977" s="47" t="s">
        <v>39</v>
      </c>
      <c r="I977" s="48">
        <v>45276</v>
      </c>
      <c r="J977">
        <v>185</v>
      </c>
      <c r="K977">
        <v>4.8</v>
      </c>
      <c r="L977">
        <f>IF(MONTH(calls[[#This Row],[Date of Call]])&lt;=6,YEAR(calls[[#This Row],[Date of Call]]),YEAR(calls[[#This Row],[Date of Call]])+1)</f>
        <v>2024</v>
      </c>
      <c r="M977" t="str">
        <f>TEXT(calls[[#This Row],[Date of Call]],"DDDD")</f>
        <v>Saturday</v>
      </c>
      <c r="N977" t="str" cm="1">
        <f t="array" ref="N97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77">
        <f>ROUND(calls[[#This Row],[Satisfaction Rating]],0)</f>
        <v>5</v>
      </c>
      <c r="P977" s="53">
        <f t="shared" si="15"/>
        <v>307</v>
      </c>
    </row>
    <row r="978" spans="2:16">
      <c r="B978" t="s">
        <v>1058</v>
      </c>
      <c r="C978" t="s">
        <v>70</v>
      </c>
      <c r="D978" s="46" t="str" cm="1">
        <f t="array" ref="D978">_xlfn.XLOOKUP(C978,customers[Customer ID],customers[Gender],"")</f>
        <v>Male</v>
      </c>
      <c r="E978" s="46" cm="1">
        <f t="array" ref="E978">_xlfn.XLOOKUP(C978,customers[Customer ID],customers[Age],"")</f>
        <v>37</v>
      </c>
      <c r="F978" s="46" t="str" cm="1">
        <f t="array" ref="F978">_xlfn.XLOOKUP(C978,customers[Customer ID],customers[City],"")</f>
        <v>Columbus</v>
      </c>
      <c r="G978">
        <v>126</v>
      </c>
      <c r="H978" s="47" t="s">
        <v>36</v>
      </c>
      <c r="I978" s="48">
        <v>45277</v>
      </c>
      <c r="J978">
        <v>80</v>
      </c>
      <c r="K978">
        <v>4.7</v>
      </c>
      <c r="L978">
        <f>IF(MONTH(calls[[#This Row],[Date of Call]])&lt;=6,YEAR(calls[[#This Row],[Date of Call]]),YEAR(calls[[#This Row],[Date of Call]])+1)</f>
        <v>2024</v>
      </c>
      <c r="M978" t="str">
        <f>TEXT(calls[[#This Row],[Date of Call]],"DDDD")</f>
        <v>Sunday</v>
      </c>
      <c r="N978" t="str" cm="1">
        <f t="array" ref="N97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78">
        <f>ROUND(calls[[#This Row],[Satisfaction Rating]],0)</f>
        <v>5</v>
      </c>
      <c r="P978" s="53">
        <f t="shared" si="15"/>
        <v>307</v>
      </c>
    </row>
    <row r="979" spans="2:16">
      <c r="B979" t="s">
        <v>1059</v>
      </c>
      <c r="C979" t="s">
        <v>67</v>
      </c>
      <c r="D979" s="46" t="str" cm="1">
        <f t="array" ref="D979">_xlfn.XLOOKUP(C979,customers[Customer ID],customers[Gender],"")</f>
        <v>Female</v>
      </c>
      <c r="E979" s="46" cm="1">
        <f t="array" ref="E979">_xlfn.XLOOKUP(C979,customers[Customer ID],customers[Age],"")</f>
        <v>37</v>
      </c>
      <c r="F979" s="46" t="str" cm="1">
        <f t="array" ref="F979">_xlfn.XLOOKUP(C979,customers[Customer ID],customers[City],"")</f>
        <v>Cleveland</v>
      </c>
      <c r="G979">
        <v>32</v>
      </c>
      <c r="H979" s="47" t="s">
        <v>39</v>
      </c>
      <c r="I979" s="48">
        <v>45277</v>
      </c>
      <c r="J979">
        <v>148</v>
      </c>
      <c r="K979">
        <v>4</v>
      </c>
      <c r="L979">
        <f>IF(MONTH(calls[[#This Row],[Date of Call]])&lt;=6,YEAR(calls[[#This Row],[Date of Call]]),YEAR(calls[[#This Row],[Date of Call]])+1)</f>
        <v>2024</v>
      </c>
      <c r="M979" t="str">
        <f>TEXT(calls[[#This Row],[Date of Call]],"DDDD")</f>
        <v>Sunday</v>
      </c>
      <c r="N979" t="str" cm="1">
        <f t="array" ref="N97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79">
        <f>ROUND(calls[[#This Row],[Satisfaction Rating]],0)</f>
        <v>4</v>
      </c>
      <c r="P979" s="53">
        <f t="shared" si="15"/>
        <v>307</v>
      </c>
    </row>
    <row r="980" spans="2:16">
      <c r="B980" t="s">
        <v>1060</v>
      </c>
      <c r="C980" t="s">
        <v>70</v>
      </c>
      <c r="D980" s="46" t="str" cm="1">
        <f t="array" ref="D980">_xlfn.XLOOKUP(C980,customers[Customer ID],customers[Gender],"")</f>
        <v>Male</v>
      </c>
      <c r="E980" s="46" cm="1">
        <f t="array" ref="E980">_xlfn.XLOOKUP(C980,customers[Customer ID],customers[Age],"")</f>
        <v>37</v>
      </c>
      <c r="F980" s="46" t="str" cm="1">
        <f t="array" ref="F980">_xlfn.XLOOKUP(C980,customers[Customer ID],customers[City],"")</f>
        <v>Columbus</v>
      </c>
      <c r="G980">
        <v>84</v>
      </c>
      <c r="H980" s="47" t="s">
        <v>38</v>
      </c>
      <c r="I980" s="48">
        <v>45279</v>
      </c>
      <c r="J980">
        <v>180</v>
      </c>
      <c r="K980">
        <v>4.9</v>
      </c>
      <c r="L980">
        <f>IF(MONTH(calls[[#This Row],[Date of Call]])&lt;=6,YEAR(calls[[#This Row],[Date of Call]]),YEAR(calls[[#This Row],[Date of Call]])+1)</f>
        <v>2024</v>
      </c>
      <c r="M980" t="str">
        <f>TEXT(calls[[#This Row],[Date of Call]],"DDDD")</f>
        <v>Tuesday</v>
      </c>
      <c r="N980" t="str" cm="1">
        <f t="array" ref="N9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80">
        <f>ROUND(calls[[#This Row],[Satisfaction Rating]],0)</f>
        <v>5</v>
      </c>
      <c r="P980" s="53">
        <f t="shared" si="15"/>
        <v>307</v>
      </c>
    </row>
    <row r="981" spans="2:16">
      <c r="B981" t="s">
        <v>1061</v>
      </c>
      <c r="C981" t="s">
        <v>72</v>
      </c>
      <c r="D981" s="46" t="str" cm="1">
        <f t="array" ref="D981">_xlfn.XLOOKUP(C981,customers[Customer ID],customers[Gender],"")</f>
        <v>Female</v>
      </c>
      <c r="E981" s="46" cm="1">
        <f t="array" ref="E981">_xlfn.XLOOKUP(C981,customers[Customer ID],customers[Age],"")</f>
        <v>25</v>
      </c>
      <c r="F981" s="46" t="str" cm="1">
        <f t="array" ref="F981">_xlfn.XLOOKUP(C981,customers[Customer ID],customers[City],"")</f>
        <v>Columbus</v>
      </c>
      <c r="G981">
        <v>120</v>
      </c>
      <c r="H981" s="47" t="s">
        <v>36</v>
      </c>
      <c r="I981" s="48">
        <v>45280</v>
      </c>
      <c r="J981">
        <v>190</v>
      </c>
      <c r="K981">
        <v>3.7</v>
      </c>
      <c r="L981">
        <f>IF(MONTH(calls[[#This Row],[Date of Call]])&lt;=6,YEAR(calls[[#This Row],[Date of Call]]),YEAR(calls[[#This Row],[Date of Call]])+1)</f>
        <v>2024</v>
      </c>
      <c r="M981" t="str">
        <f>TEXT(calls[[#This Row],[Date of Call]],"DDDD")</f>
        <v>Wednesday</v>
      </c>
      <c r="N981" t="str" cm="1">
        <f t="array" ref="N9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81">
        <f>ROUND(calls[[#This Row],[Satisfaction Rating]],0)</f>
        <v>4</v>
      </c>
      <c r="P981" s="53">
        <f t="shared" si="15"/>
        <v>307</v>
      </c>
    </row>
    <row r="982" spans="2:16">
      <c r="B982" t="s">
        <v>1062</v>
      </c>
      <c r="C982" t="s">
        <v>61</v>
      </c>
      <c r="D982" s="46" t="str" cm="1">
        <f t="array" ref="D982">_xlfn.XLOOKUP(C982,customers[Customer ID],customers[Gender],"")</f>
        <v>Female</v>
      </c>
      <c r="E982" s="46" cm="1">
        <f t="array" ref="E982">_xlfn.XLOOKUP(C982,customers[Customer ID],customers[Age],"")</f>
        <v>30</v>
      </c>
      <c r="F982" s="46" t="str" cm="1">
        <f t="array" ref="F982">_xlfn.XLOOKUP(C982,customers[Customer ID],customers[City],"")</f>
        <v>Cincinnati</v>
      </c>
      <c r="G982">
        <v>93</v>
      </c>
      <c r="H982" s="47" t="s">
        <v>39</v>
      </c>
      <c r="I982" s="48">
        <v>45280</v>
      </c>
      <c r="J982">
        <v>38</v>
      </c>
      <c r="K982">
        <v>4.5</v>
      </c>
      <c r="L982">
        <f>IF(MONTH(calls[[#This Row],[Date of Call]])&lt;=6,YEAR(calls[[#This Row],[Date of Call]]),YEAR(calls[[#This Row],[Date of Call]])+1)</f>
        <v>2024</v>
      </c>
      <c r="M982" t="str">
        <f>TEXT(calls[[#This Row],[Date of Call]],"DDDD")</f>
        <v>Wednesday</v>
      </c>
      <c r="N982" t="str" cm="1">
        <f t="array" ref="N9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82">
        <f>ROUND(calls[[#This Row],[Satisfaction Rating]],0)</f>
        <v>5</v>
      </c>
      <c r="P982" s="53">
        <f t="shared" si="15"/>
        <v>307</v>
      </c>
    </row>
    <row r="983" spans="2:16">
      <c r="B983" t="s">
        <v>1063</v>
      </c>
      <c r="C983" t="s">
        <v>64</v>
      </c>
      <c r="D983" s="46" t="str" cm="1">
        <f t="array" ref="D983">_xlfn.XLOOKUP(C983,customers[Customer ID],customers[Gender],"")</f>
        <v>Female</v>
      </c>
      <c r="E983" s="46" cm="1">
        <f t="array" ref="E983">_xlfn.XLOOKUP(C983,customers[Customer ID],customers[Age],"")</f>
        <v>22</v>
      </c>
      <c r="F983" s="46" t="str" cm="1">
        <f t="array" ref="F983">_xlfn.XLOOKUP(C983,customers[Customer ID],customers[City],"")</f>
        <v>Cleveland</v>
      </c>
      <c r="G983">
        <v>76</v>
      </c>
      <c r="H983" s="47" t="s">
        <v>37</v>
      </c>
      <c r="I983" s="48">
        <v>45281</v>
      </c>
      <c r="J983">
        <v>82</v>
      </c>
      <c r="K983">
        <v>2.1</v>
      </c>
      <c r="L983">
        <f>IF(MONTH(calls[[#This Row],[Date of Call]])&lt;=6,YEAR(calls[[#This Row],[Date of Call]]),YEAR(calls[[#This Row],[Date of Call]])+1)</f>
        <v>2024</v>
      </c>
      <c r="M983" t="str">
        <f>TEXT(calls[[#This Row],[Date of Call]],"DDDD")</f>
        <v>Thursday</v>
      </c>
      <c r="N983" t="str" cm="1">
        <f t="array" ref="N9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83">
        <f>ROUND(calls[[#This Row],[Satisfaction Rating]],0)</f>
        <v>2</v>
      </c>
      <c r="P983" s="53">
        <f t="shared" si="15"/>
        <v>307</v>
      </c>
    </row>
    <row r="984" spans="2:16">
      <c r="B984" t="s">
        <v>1064</v>
      </c>
      <c r="C984" t="s">
        <v>65</v>
      </c>
      <c r="D984" s="46" t="str" cm="1">
        <f t="array" ref="D984">_xlfn.XLOOKUP(C984,customers[Customer ID],customers[Gender],"")</f>
        <v>Female</v>
      </c>
      <c r="E984" s="46" cm="1">
        <f t="array" ref="E984">_xlfn.XLOOKUP(C984,customers[Customer ID],customers[Age],"")</f>
        <v>42</v>
      </c>
      <c r="F984" s="46" t="str" cm="1">
        <f t="array" ref="F984">_xlfn.XLOOKUP(C984,customers[Customer ID],customers[City],"")</f>
        <v>Cleveland</v>
      </c>
      <c r="G984">
        <v>89</v>
      </c>
      <c r="H984" s="47" t="s">
        <v>39</v>
      </c>
      <c r="I984" s="48">
        <v>45284</v>
      </c>
      <c r="J984">
        <v>88</v>
      </c>
      <c r="K984">
        <v>2.8</v>
      </c>
      <c r="L984">
        <f>IF(MONTH(calls[[#This Row],[Date of Call]])&lt;=6,YEAR(calls[[#This Row],[Date of Call]]),YEAR(calls[[#This Row],[Date of Call]])+1)</f>
        <v>2024</v>
      </c>
      <c r="M984" t="str">
        <f>TEXT(calls[[#This Row],[Date of Call]],"DDDD")</f>
        <v>Sunday</v>
      </c>
      <c r="N984" t="str" cm="1">
        <f t="array" ref="N9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84">
        <f>ROUND(calls[[#This Row],[Satisfaction Rating]],0)</f>
        <v>3</v>
      </c>
      <c r="P984" s="53">
        <f t="shared" si="15"/>
        <v>307</v>
      </c>
    </row>
    <row r="985" spans="2:16">
      <c r="B985" t="s">
        <v>1065</v>
      </c>
      <c r="C985" t="s">
        <v>73</v>
      </c>
      <c r="D985" s="46" t="str" cm="1">
        <f t="array" ref="D985">_xlfn.XLOOKUP(C985,customers[Customer ID],customers[Gender],"")</f>
        <v>Female</v>
      </c>
      <c r="E985" s="46" cm="1">
        <f t="array" ref="E985">_xlfn.XLOOKUP(C985,customers[Customer ID],customers[Age],"")</f>
        <v>38</v>
      </c>
      <c r="F985" s="46" t="str" cm="1">
        <f t="array" ref="F985">_xlfn.XLOOKUP(C985,customers[Customer ID],customers[City],"")</f>
        <v>Columbus</v>
      </c>
      <c r="G985">
        <v>91</v>
      </c>
      <c r="H985" s="47" t="s">
        <v>38</v>
      </c>
      <c r="I985" s="48">
        <v>45284</v>
      </c>
      <c r="J985">
        <v>42</v>
      </c>
      <c r="K985">
        <v>4.1</v>
      </c>
      <c r="L985">
        <f>IF(MONTH(calls[[#This Row],[Date of Call]])&lt;=6,YEAR(calls[[#This Row],[Date of Call]]),YEAR(calls[[#This Row],[Date of Call]])+1)</f>
        <v>2024</v>
      </c>
      <c r="M985" t="str">
        <f>TEXT(calls[[#This Row],[Date of Call]],"DDDD")</f>
        <v>Sunday</v>
      </c>
      <c r="N985" t="str" cm="1">
        <f t="array" ref="N9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85">
        <f>ROUND(calls[[#This Row],[Satisfaction Rating]],0)</f>
        <v>4</v>
      </c>
      <c r="P985" s="53">
        <f t="shared" si="15"/>
        <v>307</v>
      </c>
    </row>
    <row r="986" spans="2:16">
      <c r="B986" t="s">
        <v>1066</v>
      </c>
      <c r="C986" t="s">
        <v>71</v>
      </c>
      <c r="D986" s="46" t="str" cm="1">
        <f t="array" ref="D986">_xlfn.XLOOKUP(C986,customers[Customer ID],customers[Gender],"")</f>
        <v>Male</v>
      </c>
      <c r="E986" s="46" cm="1">
        <f t="array" ref="E986">_xlfn.XLOOKUP(C986,customers[Customer ID],customers[Age],"")</f>
        <v>23</v>
      </c>
      <c r="F986" s="46" t="str" cm="1">
        <f t="array" ref="F986">_xlfn.XLOOKUP(C986,customers[Customer ID],customers[City],"")</f>
        <v>Columbus</v>
      </c>
      <c r="G986">
        <v>7</v>
      </c>
      <c r="H986" s="47" t="s">
        <v>40</v>
      </c>
      <c r="I986" s="48">
        <v>45285</v>
      </c>
      <c r="J986">
        <v>64</v>
      </c>
      <c r="K986">
        <v>3.3</v>
      </c>
      <c r="L986">
        <f>IF(MONTH(calls[[#This Row],[Date of Call]])&lt;=6,YEAR(calls[[#This Row],[Date of Call]]),YEAR(calls[[#This Row],[Date of Call]])+1)</f>
        <v>2024</v>
      </c>
      <c r="M986" t="str">
        <f>TEXT(calls[[#This Row],[Date of Call]],"DDDD")</f>
        <v>Monday</v>
      </c>
      <c r="N986" t="str" cm="1">
        <f t="array" ref="N986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O986">
        <f>ROUND(calls[[#This Row],[Satisfaction Rating]],0)</f>
        <v>3</v>
      </c>
      <c r="P986" s="53">
        <f t="shared" si="15"/>
        <v>307</v>
      </c>
    </row>
    <row r="987" spans="2:16">
      <c r="B987" t="s">
        <v>1067</v>
      </c>
      <c r="C987" t="s">
        <v>67</v>
      </c>
      <c r="D987" s="46" t="str" cm="1">
        <f t="array" ref="D987">_xlfn.XLOOKUP(C987,customers[Customer ID],customers[Gender],"")</f>
        <v>Female</v>
      </c>
      <c r="E987" s="46" cm="1">
        <f t="array" ref="E987">_xlfn.XLOOKUP(C987,customers[Customer ID],customers[Age],"")</f>
        <v>37</v>
      </c>
      <c r="F987" s="46" t="str" cm="1">
        <f t="array" ref="F987">_xlfn.XLOOKUP(C987,customers[Customer ID],customers[City],"")</f>
        <v>Cleveland</v>
      </c>
      <c r="G987">
        <v>140</v>
      </c>
      <c r="H987" s="47" t="s">
        <v>40</v>
      </c>
      <c r="I987" s="48">
        <v>45285</v>
      </c>
      <c r="J987">
        <v>105</v>
      </c>
      <c r="K987">
        <v>1.7</v>
      </c>
      <c r="L987">
        <f>IF(MONTH(calls[[#This Row],[Date of Call]])&lt;=6,YEAR(calls[[#This Row],[Date of Call]]),YEAR(calls[[#This Row],[Date of Call]])+1)</f>
        <v>2024</v>
      </c>
      <c r="M987" t="str">
        <f>TEXT(calls[[#This Row],[Date of Call]],"DDDD")</f>
        <v>Monday</v>
      </c>
      <c r="N987" t="str" cm="1">
        <f t="array" ref="N98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87">
        <f>ROUND(calls[[#This Row],[Satisfaction Rating]],0)</f>
        <v>2</v>
      </c>
      <c r="P987" s="53">
        <f t="shared" si="15"/>
        <v>307</v>
      </c>
    </row>
    <row r="988" spans="2:16">
      <c r="B988" t="s">
        <v>1068</v>
      </c>
      <c r="C988" t="s">
        <v>60</v>
      </c>
      <c r="D988" s="46" t="str" cm="1">
        <f t="array" ref="D988">_xlfn.XLOOKUP(C988,customers[Customer ID],customers[Gender],"")</f>
        <v>Male</v>
      </c>
      <c r="E988" s="46" cm="1">
        <f t="array" ref="E988">_xlfn.XLOOKUP(C988,customers[Customer ID],customers[Age],"")</f>
        <v>36</v>
      </c>
      <c r="F988" s="46" t="str" cm="1">
        <f t="array" ref="F988">_xlfn.XLOOKUP(C988,customers[Customer ID],customers[City],"")</f>
        <v>Cincinnati</v>
      </c>
      <c r="G988">
        <v>58</v>
      </c>
      <c r="H988" s="47" t="s">
        <v>36</v>
      </c>
      <c r="I988" s="48">
        <v>45285</v>
      </c>
      <c r="J988">
        <v>25</v>
      </c>
      <c r="K988">
        <v>3.6</v>
      </c>
      <c r="L988">
        <f>IF(MONTH(calls[[#This Row],[Date of Call]])&lt;=6,YEAR(calls[[#This Row],[Date of Call]]),YEAR(calls[[#This Row],[Date of Call]])+1)</f>
        <v>2024</v>
      </c>
      <c r="M988" t="str">
        <f>TEXT(calls[[#This Row],[Date of Call]],"DDDD")</f>
        <v>Monday</v>
      </c>
      <c r="N988" t="str" cm="1">
        <f t="array" ref="N98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88">
        <f>ROUND(calls[[#This Row],[Satisfaction Rating]],0)</f>
        <v>4</v>
      </c>
      <c r="P988" s="53">
        <f t="shared" si="15"/>
        <v>307</v>
      </c>
    </row>
    <row r="989" spans="2:16">
      <c r="B989" t="s">
        <v>1069</v>
      </c>
      <c r="C989" t="s">
        <v>59</v>
      </c>
      <c r="D989" s="46" t="str" cm="1">
        <f t="array" ref="D989">_xlfn.XLOOKUP(C989,customers[Customer ID],customers[Gender],"")</f>
        <v>Male</v>
      </c>
      <c r="E989" s="46" cm="1">
        <f t="array" ref="E989">_xlfn.XLOOKUP(C989,customers[Customer ID],customers[Age],"")</f>
        <v>26</v>
      </c>
      <c r="F989" s="46" t="str" cm="1">
        <f t="array" ref="F989">_xlfn.XLOOKUP(C989,customers[Customer ID],customers[City],"")</f>
        <v>Cincinnati</v>
      </c>
      <c r="G989">
        <v>90</v>
      </c>
      <c r="H989" s="47" t="s">
        <v>37</v>
      </c>
      <c r="I989" s="48">
        <v>45286</v>
      </c>
      <c r="J989">
        <v>176</v>
      </c>
      <c r="K989">
        <v>3.6</v>
      </c>
      <c r="L989">
        <f>IF(MONTH(calls[[#This Row],[Date of Call]])&lt;=6,YEAR(calls[[#This Row],[Date of Call]]),YEAR(calls[[#This Row],[Date of Call]])+1)</f>
        <v>2024</v>
      </c>
      <c r="M989" t="str">
        <f>TEXT(calls[[#This Row],[Date of Call]],"DDDD")</f>
        <v>Tuesday</v>
      </c>
      <c r="N989" t="str" cm="1">
        <f t="array" ref="N9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89">
        <f>ROUND(calls[[#This Row],[Satisfaction Rating]],0)</f>
        <v>4</v>
      </c>
      <c r="P989" s="53">
        <f t="shared" si="15"/>
        <v>307</v>
      </c>
    </row>
    <row r="990" spans="2:16">
      <c r="B990" t="s">
        <v>1070</v>
      </c>
      <c r="C990" t="s">
        <v>59</v>
      </c>
      <c r="D990" s="46" t="str" cm="1">
        <f t="array" ref="D990">_xlfn.XLOOKUP(C990,customers[Customer ID],customers[Gender],"")</f>
        <v>Male</v>
      </c>
      <c r="E990" s="46" cm="1">
        <f t="array" ref="E990">_xlfn.XLOOKUP(C990,customers[Customer ID],customers[Age],"")</f>
        <v>26</v>
      </c>
      <c r="F990" s="46" t="str" cm="1">
        <f t="array" ref="F990">_xlfn.XLOOKUP(C990,customers[Customer ID],customers[City],"")</f>
        <v>Cincinnati</v>
      </c>
      <c r="G990">
        <v>106</v>
      </c>
      <c r="H990" s="47" t="s">
        <v>39</v>
      </c>
      <c r="I990" s="48">
        <v>45287</v>
      </c>
      <c r="J990">
        <v>46</v>
      </c>
      <c r="K990">
        <v>4.6</v>
      </c>
      <c r="L990">
        <f>IF(MONTH(calls[[#This Row],[Date of Call]])&lt;=6,YEAR(calls[[#This Row],[Date of Call]]),YEAR(calls[[#This Row],[Date of Call]])+1)</f>
        <v>2024</v>
      </c>
      <c r="M990" t="str">
        <f>TEXT(calls[[#This Row],[Date of Call]],"DDDD")</f>
        <v>Wednesday</v>
      </c>
      <c r="N990" t="str" cm="1">
        <f t="array" ref="N9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90">
        <f>ROUND(calls[[#This Row],[Satisfaction Rating]],0)</f>
        <v>5</v>
      </c>
      <c r="P990" s="53">
        <f t="shared" si="15"/>
        <v>307</v>
      </c>
    </row>
    <row r="991" spans="2:16">
      <c r="B991" t="s">
        <v>1071</v>
      </c>
      <c r="C991" t="s">
        <v>72</v>
      </c>
      <c r="D991" s="46" t="str" cm="1">
        <f t="array" ref="D991">_xlfn.XLOOKUP(C991,customers[Customer ID],customers[Gender],"")</f>
        <v>Female</v>
      </c>
      <c r="E991" s="46" cm="1">
        <f t="array" ref="E991">_xlfn.XLOOKUP(C991,customers[Customer ID],customers[Age],"")</f>
        <v>25</v>
      </c>
      <c r="F991" s="46" t="str" cm="1">
        <f t="array" ref="F991">_xlfn.XLOOKUP(C991,customers[Customer ID],customers[City],"")</f>
        <v>Columbus</v>
      </c>
      <c r="G991">
        <v>72</v>
      </c>
      <c r="H991" s="47" t="s">
        <v>40</v>
      </c>
      <c r="I991" s="48">
        <v>45287</v>
      </c>
      <c r="J991">
        <v>164</v>
      </c>
      <c r="K991">
        <v>4.8</v>
      </c>
      <c r="L991">
        <f>IF(MONTH(calls[[#This Row],[Date of Call]])&lt;=6,YEAR(calls[[#This Row],[Date of Call]]),YEAR(calls[[#This Row],[Date of Call]])+1)</f>
        <v>2024</v>
      </c>
      <c r="M991" t="str">
        <f>TEXT(calls[[#This Row],[Date of Call]],"DDDD")</f>
        <v>Wednesday</v>
      </c>
      <c r="N991" t="str" cm="1">
        <f t="array" ref="N9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91">
        <f>ROUND(calls[[#This Row],[Satisfaction Rating]],0)</f>
        <v>5</v>
      </c>
      <c r="P991" s="53">
        <f t="shared" si="15"/>
        <v>307</v>
      </c>
    </row>
    <row r="992" spans="2:16">
      <c r="B992" t="s">
        <v>1072</v>
      </c>
      <c r="C992" t="s">
        <v>71</v>
      </c>
      <c r="D992" s="46" t="str" cm="1">
        <f t="array" ref="D992">_xlfn.XLOOKUP(C992,customers[Customer ID],customers[Gender],"")</f>
        <v>Male</v>
      </c>
      <c r="E992" s="46" cm="1">
        <f t="array" ref="E992">_xlfn.XLOOKUP(C992,customers[Customer ID],customers[Age],"")</f>
        <v>23</v>
      </c>
      <c r="F992" s="46" t="str" cm="1">
        <f t="array" ref="F992">_xlfn.XLOOKUP(C992,customers[Customer ID],customers[City],"")</f>
        <v>Columbus</v>
      </c>
      <c r="G992">
        <v>124</v>
      </c>
      <c r="H992" s="47" t="s">
        <v>40</v>
      </c>
      <c r="I992" s="48">
        <v>45288</v>
      </c>
      <c r="J992">
        <v>64</v>
      </c>
      <c r="K992">
        <v>4.5</v>
      </c>
      <c r="L992">
        <f>IF(MONTH(calls[[#This Row],[Date of Call]])&lt;=6,YEAR(calls[[#This Row],[Date of Call]]),YEAR(calls[[#This Row],[Date of Call]])+1)</f>
        <v>2024</v>
      </c>
      <c r="M992" t="str">
        <f>TEXT(calls[[#This Row],[Date of Call]],"DDDD")</f>
        <v>Thursday</v>
      </c>
      <c r="N992" t="str" cm="1">
        <f t="array" ref="N99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92">
        <f>ROUND(calls[[#This Row],[Satisfaction Rating]],0)</f>
        <v>5</v>
      </c>
      <c r="P992" s="53">
        <f t="shared" si="15"/>
        <v>307</v>
      </c>
    </row>
    <row r="993" spans="2:16">
      <c r="B993" t="s">
        <v>1073</v>
      </c>
      <c r="C993" t="s">
        <v>63</v>
      </c>
      <c r="D993" s="46" t="str" cm="1">
        <f t="array" ref="D993">_xlfn.XLOOKUP(C993,customers[Customer ID],customers[Gender],"")</f>
        <v>Male</v>
      </c>
      <c r="E993" s="46" cm="1">
        <f t="array" ref="E993">_xlfn.XLOOKUP(C993,customers[Customer ID],customers[Age],"")</f>
        <v>31</v>
      </c>
      <c r="F993" s="46" t="str" cm="1">
        <f t="array" ref="F993">_xlfn.XLOOKUP(C993,customers[Customer ID],customers[City],"")</f>
        <v>Cleveland</v>
      </c>
      <c r="G993">
        <v>86</v>
      </c>
      <c r="H993" s="47" t="s">
        <v>38</v>
      </c>
      <c r="I993" s="48">
        <v>45288</v>
      </c>
      <c r="J993">
        <v>205</v>
      </c>
      <c r="K993">
        <v>4.5</v>
      </c>
      <c r="L993">
        <f>IF(MONTH(calls[[#This Row],[Date of Call]])&lt;=6,YEAR(calls[[#This Row],[Date of Call]]),YEAR(calls[[#This Row],[Date of Call]])+1)</f>
        <v>2024</v>
      </c>
      <c r="M993" t="str">
        <f>TEXT(calls[[#This Row],[Date of Call]],"DDDD")</f>
        <v>Thursday</v>
      </c>
      <c r="N993" t="str" cm="1">
        <f t="array" ref="N9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93">
        <f>ROUND(calls[[#This Row],[Satisfaction Rating]],0)</f>
        <v>5</v>
      </c>
      <c r="P993" s="53">
        <f t="shared" si="15"/>
        <v>307</v>
      </c>
    </row>
    <row r="994" spans="2:16">
      <c r="B994" t="s">
        <v>1074</v>
      </c>
      <c r="C994" t="s">
        <v>70</v>
      </c>
      <c r="D994" s="46" t="str" cm="1">
        <f t="array" ref="D994">_xlfn.XLOOKUP(C994,customers[Customer ID],customers[Gender],"")</f>
        <v>Male</v>
      </c>
      <c r="E994" s="46" cm="1">
        <f t="array" ref="E994">_xlfn.XLOOKUP(C994,customers[Customer ID],customers[Age],"")</f>
        <v>37</v>
      </c>
      <c r="F994" s="46" t="str" cm="1">
        <f t="array" ref="F994">_xlfn.XLOOKUP(C994,customers[Customer ID],customers[City],"")</f>
        <v>Columbus</v>
      </c>
      <c r="G994">
        <v>164</v>
      </c>
      <c r="H994" s="47" t="s">
        <v>38</v>
      </c>
      <c r="I994" s="48">
        <v>45289</v>
      </c>
      <c r="J994">
        <v>100</v>
      </c>
      <c r="K994">
        <v>4.6</v>
      </c>
      <c r="L994">
        <f>IF(MONTH(calls[[#This Row],[Date of Call]])&lt;=6,YEAR(calls[[#This Row],[Date of Call]]),YEAR(calls[[#This Row],[Date of Call]])+1)</f>
        <v>2024</v>
      </c>
      <c r="M994" t="str">
        <f>TEXT(calls[[#This Row],[Date of Call]],"DDDD")</f>
        <v>Friday</v>
      </c>
      <c r="N994" t="str" cm="1">
        <f t="array" ref="N99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994">
        <f>ROUND(calls[[#This Row],[Satisfaction Rating]],0)</f>
        <v>5</v>
      </c>
      <c r="P994" s="53">
        <f t="shared" si="15"/>
        <v>307</v>
      </c>
    </row>
    <row r="995" spans="2:16">
      <c r="B995" t="s">
        <v>1075</v>
      </c>
      <c r="C995" t="s">
        <v>61</v>
      </c>
      <c r="D995" s="46" t="str" cm="1">
        <f t="array" ref="D995">_xlfn.XLOOKUP(C995,customers[Customer ID],customers[Gender],"")</f>
        <v>Female</v>
      </c>
      <c r="E995" s="46" cm="1">
        <f t="array" ref="E995">_xlfn.XLOOKUP(C995,customers[Customer ID],customers[Age],"")</f>
        <v>30</v>
      </c>
      <c r="F995" s="46" t="str" cm="1">
        <f t="array" ref="F995">_xlfn.XLOOKUP(C995,customers[Customer ID],customers[City],"")</f>
        <v>Cincinnati</v>
      </c>
      <c r="G995">
        <v>40</v>
      </c>
      <c r="H995" s="47" t="s">
        <v>37</v>
      </c>
      <c r="I995" s="48">
        <v>45289</v>
      </c>
      <c r="J995">
        <v>111</v>
      </c>
      <c r="K995">
        <v>4.6</v>
      </c>
      <c r="L995">
        <f>IF(MONTH(calls[[#This Row],[Date of Call]])&lt;=6,YEAR(calls[[#This Row],[Date of Call]]),YEAR(calls[[#This Row],[Date of Call]])+1)</f>
        <v>2024</v>
      </c>
      <c r="M995" t="str">
        <f>TEXT(calls[[#This Row],[Date of Call]],"DDDD")</f>
        <v>Friday</v>
      </c>
      <c r="N995" t="str" cm="1">
        <f t="array" ref="N99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O995">
        <f>ROUND(calls[[#This Row],[Satisfaction Rating]],0)</f>
        <v>5</v>
      </c>
      <c r="P995" s="53">
        <f t="shared" si="15"/>
        <v>307</v>
      </c>
    </row>
    <row r="996" spans="2:16">
      <c r="B996" t="s">
        <v>1076</v>
      </c>
      <c r="C996" t="s">
        <v>73</v>
      </c>
      <c r="D996" s="46" t="str" cm="1">
        <f t="array" ref="D996">_xlfn.XLOOKUP(C996,customers[Customer ID],customers[Gender],"")</f>
        <v>Female</v>
      </c>
      <c r="E996" s="46" cm="1">
        <f t="array" ref="E996">_xlfn.XLOOKUP(C996,customers[Customer ID],customers[Age],"")</f>
        <v>38</v>
      </c>
      <c r="F996" s="46" t="str" cm="1">
        <f t="array" ref="F996">_xlfn.XLOOKUP(C996,customers[Customer ID],customers[City],"")</f>
        <v>Columbus</v>
      </c>
      <c r="G996">
        <v>76</v>
      </c>
      <c r="H996" s="47" t="s">
        <v>36</v>
      </c>
      <c r="I996" s="48">
        <v>45289</v>
      </c>
      <c r="J996">
        <v>80</v>
      </c>
      <c r="K996">
        <v>3.5</v>
      </c>
      <c r="L996">
        <f>IF(MONTH(calls[[#This Row],[Date of Call]])&lt;=6,YEAR(calls[[#This Row],[Date of Call]]),YEAR(calls[[#This Row],[Date of Call]])+1)</f>
        <v>2024</v>
      </c>
      <c r="M996" t="str">
        <f>TEXT(calls[[#This Row],[Date of Call]],"DDDD")</f>
        <v>Friday</v>
      </c>
      <c r="N996" t="str" cm="1">
        <f t="array" ref="N99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96">
        <f>ROUND(calls[[#This Row],[Satisfaction Rating]],0)</f>
        <v>4</v>
      </c>
      <c r="P996" s="53">
        <f t="shared" si="15"/>
        <v>307</v>
      </c>
    </row>
    <row r="997" spans="2:16">
      <c r="B997" t="s">
        <v>1077</v>
      </c>
      <c r="C997" t="s">
        <v>71</v>
      </c>
      <c r="D997" s="46" t="str" cm="1">
        <f t="array" ref="D997">_xlfn.XLOOKUP(C997,customers[Customer ID],customers[Gender],"")</f>
        <v>Male</v>
      </c>
      <c r="E997" s="46" cm="1">
        <f t="array" ref="E997">_xlfn.XLOOKUP(C997,customers[Customer ID],customers[Age],"")</f>
        <v>23</v>
      </c>
      <c r="F997" s="46" t="str" cm="1">
        <f t="array" ref="F997">_xlfn.XLOOKUP(C997,customers[Customer ID],customers[City],"")</f>
        <v>Columbus</v>
      </c>
      <c r="G997">
        <v>95</v>
      </c>
      <c r="H997" s="47" t="s">
        <v>39</v>
      </c>
      <c r="I997" s="48">
        <v>45289</v>
      </c>
      <c r="J997">
        <v>50</v>
      </c>
      <c r="K997">
        <v>2.9</v>
      </c>
      <c r="L997">
        <f>IF(MONTH(calls[[#This Row],[Date of Call]])&lt;=6,YEAR(calls[[#This Row],[Date of Call]]),YEAR(calls[[#This Row],[Date of Call]])+1)</f>
        <v>2024</v>
      </c>
      <c r="M997" t="str">
        <f>TEXT(calls[[#This Row],[Date of Call]],"DDDD")</f>
        <v>Friday</v>
      </c>
      <c r="N997" t="str" cm="1">
        <f t="array" ref="N99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97">
        <f>ROUND(calls[[#This Row],[Satisfaction Rating]],0)</f>
        <v>3</v>
      </c>
      <c r="P997" s="53">
        <f t="shared" si="15"/>
        <v>307</v>
      </c>
    </row>
    <row r="998" spans="2:16">
      <c r="B998" t="s">
        <v>1078</v>
      </c>
      <c r="C998" t="s">
        <v>73</v>
      </c>
      <c r="D998" s="46" t="str" cm="1">
        <f t="array" ref="D998">_xlfn.XLOOKUP(C998,customers[Customer ID],customers[Gender],"")</f>
        <v>Female</v>
      </c>
      <c r="E998" s="46" cm="1">
        <f t="array" ref="E998">_xlfn.XLOOKUP(C998,customers[Customer ID],customers[Age],"")</f>
        <v>38</v>
      </c>
      <c r="F998" s="46" t="str" cm="1">
        <f t="array" ref="F998">_xlfn.XLOOKUP(C998,customers[Customer ID],customers[City],"")</f>
        <v>Columbus</v>
      </c>
      <c r="G998">
        <v>113</v>
      </c>
      <c r="H998" s="47" t="s">
        <v>40</v>
      </c>
      <c r="I998" s="48">
        <v>45290</v>
      </c>
      <c r="J998">
        <v>165</v>
      </c>
      <c r="K998">
        <v>4.7</v>
      </c>
      <c r="L998">
        <f>IF(MONTH(calls[[#This Row],[Date of Call]])&lt;=6,YEAR(calls[[#This Row],[Date of Call]]),YEAR(calls[[#This Row],[Date of Call]])+1)</f>
        <v>2024</v>
      </c>
      <c r="M998" t="str">
        <f>TEXT(calls[[#This Row],[Date of Call]],"DDDD")</f>
        <v>Saturday</v>
      </c>
      <c r="N998" t="str" cm="1">
        <f t="array" ref="N9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98">
        <f>ROUND(calls[[#This Row],[Satisfaction Rating]],0)</f>
        <v>5</v>
      </c>
      <c r="P998" s="53">
        <f t="shared" si="15"/>
        <v>307</v>
      </c>
    </row>
    <row r="999" spans="2:16">
      <c r="B999" t="s">
        <v>1079</v>
      </c>
      <c r="C999" t="s">
        <v>63</v>
      </c>
      <c r="D999" s="46" t="str" cm="1">
        <f t="array" ref="D999">_xlfn.XLOOKUP(C999,customers[Customer ID],customers[Gender],"")</f>
        <v>Male</v>
      </c>
      <c r="E999" s="46" cm="1">
        <f t="array" ref="E999">_xlfn.XLOOKUP(C999,customers[Customer ID],customers[Age],"")</f>
        <v>31</v>
      </c>
      <c r="F999" s="46" t="str" cm="1">
        <f t="array" ref="F999">_xlfn.XLOOKUP(C999,customers[Customer ID],customers[City],"")</f>
        <v>Cleveland</v>
      </c>
      <c r="G999">
        <v>81</v>
      </c>
      <c r="H999" s="47" t="s">
        <v>40</v>
      </c>
      <c r="I999" s="48">
        <v>45290</v>
      </c>
      <c r="J999">
        <v>28</v>
      </c>
      <c r="K999">
        <v>3.9</v>
      </c>
      <c r="L999">
        <f>IF(MONTH(calls[[#This Row],[Date of Call]])&lt;=6,YEAR(calls[[#This Row],[Date of Call]]),YEAR(calls[[#This Row],[Date of Call]])+1)</f>
        <v>2024</v>
      </c>
      <c r="M999" t="str">
        <f>TEXT(calls[[#This Row],[Date of Call]],"DDDD")</f>
        <v>Saturday</v>
      </c>
      <c r="N999" t="str" cm="1">
        <f t="array" ref="N99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999">
        <f>ROUND(calls[[#This Row],[Satisfaction Rating]],0)</f>
        <v>4</v>
      </c>
      <c r="P999" s="53">
        <f t="shared" si="15"/>
        <v>307</v>
      </c>
    </row>
    <row r="1000" spans="2:16">
      <c r="B1000" t="s">
        <v>1080</v>
      </c>
      <c r="C1000" t="s">
        <v>64</v>
      </c>
      <c r="D1000" s="46" t="str" cm="1">
        <f t="array" ref="D1000">_xlfn.XLOOKUP(C1000,customers[Customer ID],customers[Gender],"")</f>
        <v>Female</v>
      </c>
      <c r="E1000" s="46" cm="1">
        <f t="array" ref="E1000">_xlfn.XLOOKUP(C1000,customers[Customer ID],customers[Age],"")</f>
        <v>22</v>
      </c>
      <c r="F1000" s="46" t="str" cm="1">
        <f t="array" ref="F1000">_xlfn.XLOOKUP(C1000,customers[Customer ID],customers[City],"")</f>
        <v>Cleveland</v>
      </c>
      <c r="G1000">
        <v>127</v>
      </c>
      <c r="H1000" s="47" t="s">
        <v>39</v>
      </c>
      <c r="I1000" s="48">
        <v>45290</v>
      </c>
      <c r="J1000">
        <v>215</v>
      </c>
      <c r="K1000">
        <v>3.8</v>
      </c>
      <c r="L1000">
        <f>IF(MONTH(calls[[#This Row],[Date of Call]])&lt;=6,YEAR(calls[[#This Row],[Date of Call]]),YEAR(calls[[#This Row],[Date of Call]])+1)</f>
        <v>2024</v>
      </c>
      <c r="M1000" t="str">
        <f>TEXT(calls[[#This Row],[Date of Call]],"DDDD")</f>
        <v>Saturday</v>
      </c>
      <c r="N1000" t="str" cm="1">
        <f t="array" ref="N100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000">
        <f>ROUND(calls[[#This Row],[Satisfaction Rating]],0)</f>
        <v>4</v>
      </c>
      <c r="P1000" s="53">
        <f t="shared" si="15"/>
        <v>307</v>
      </c>
    </row>
    <row r="1001" spans="2:16">
      <c r="B1001" t="s">
        <v>1081</v>
      </c>
      <c r="C1001" t="s">
        <v>67</v>
      </c>
      <c r="D1001" s="46" t="str" cm="1">
        <f t="array" ref="D1001">_xlfn.XLOOKUP(C1001,customers[Customer ID],customers[Gender],"")</f>
        <v>Female</v>
      </c>
      <c r="E1001" s="46" cm="1">
        <f t="array" ref="E1001">_xlfn.XLOOKUP(C1001,customers[Customer ID],customers[Age],"")</f>
        <v>37</v>
      </c>
      <c r="F1001" s="46" t="str" cm="1">
        <f t="array" ref="F1001">_xlfn.XLOOKUP(C1001,customers[Customer ID],customers[City],"")</f>
        <v>Cleveland</v>
      </c>
      <c r="G1001">
        <v>146</v>
      </c>
      <c r="H1001" s="47" t="s">
        <v>40</v>
      </c>
      <c r="I1001" s="48">
        <v>45291</v>
      </c>
      <c r="J1001">
        <v>115</v>
      </c>
      <c r="K1001">
        <v>2.3</v>
      </c>
      <c r="L1001">
        <f>IF(MONTH(calls[[#This Row],[Date of Call]])&lt;=6,YEAR(calls[[#This Row],[Date of Call]]),YEAR(calls[[#This Row],[Date of Call]])+1)</f>
        <v>2024</v>
      </c>
      <c r="M1001" t="str">
        <f>TEXT(calls[[#This Row],[Date of Call]],"DDDD")</f>
        <v>Sunday</v>
      </c>
      <c r="N1001" t="str" cm="1">
        <f t="array" ref="N100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001">
        <f>ROUND(calls[[#This Row],[Satisfaction Rating]],0)</f>
        <v>2</v>
      </c>
      <c r="P1001" s="53">
        <f t="shared" si="15"/>
        <v>307</v>
      </c>
    </row>
    <row r="1002" spans="2:16">
      <c r="B1002" t="s">
        <v>1082</v>
      </c>
      <c r="C1002" t="s">
        <v>66</v>
      </c>
      <c r="D1002" s="46" t="str" cm="1">
        <f t="array" ref="D1002">_xlfn.XLOOKUP(C1002,customers[Customer ID],customers[Gender],"")</f>
        <v>Female</v>
      </c>
      <c r="E1002" s="46" cm="1">
        <f t="array" ref="E1002">_xlfn.XLOOKUP(C1002,customers[Customer ID],customers[Age],"")</f>
        <v>30</v>
      </c>
      <c r="F1002" s="46" t="str" cm="1">
        <f t="array" ref="F1002">_xlfn.XLOOKUP(C1002,customers[Customer ID],customers[City],"")</f>
        <v>Cleveland</v>
      </c>
      <c r="G1002">
        <v>123</v>
      </c>
      <c r="H1002" s="47" t="s">
        <v>40</v>
      </c>
      <c r="I1002" s="48">
        <v>45291</v>
      </c>
      <c r="J1002">
        <v>64</v>
      </c>
      <c r="K1002">
        <v>3.7</v>
      </c>
      <c r="L1002">
        <f>IF(MONTH(calls[[#This Row],[Date of Call]])&lt;=6,YEAR(calls[[#This Row],[Date of Call]]),YEAR(calls[[#This Row],[Date of Call]])+1)</f>
        <v>2024</v>
      </c>
      <c r="M1002" t="str">
        <f>TEXT(calls[[#This Row],[Date of Call]],"DDDD")</f>
        <v>Sunday</v>
      </c>
      <c r="N1002" t="str" cm="1">
        <f t="array" ref="N100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O1002">
        <f>ROUND(calls[[#This Row],[Satisfaction Rating]],0)</f>
        <v>4</v>
      </c>
      <c r="P1002" s="53">
        <f t="shared" si="15"/>
        <v>307</v>
      </c>
    </row>
    <row r="1003" spans="2:16">
      <c r="B1003" t="s">
        <v>1083</v>
      </c>
      <c r="C1003" t="s">
        <v>72</v>
      </c>
      <c r="D1003" s="46" t="str" cm="1">
        <f t="array" ref="D1003">_xlfn.XLOOKUP(C1003,customers[Customer ID],customers[Gender],"")</f>
        <v>Female</v>
      </c>
      <c r="E1003" s="46" cm="1">
        <f t="array" ref="E1003">_xlfn.XLOOKUP(C1003,customers[Customer ID],customers[Age],"")</f>
        <v>25</v>
      </c>
      <c r="F1003" s="46" t="str" cm="1">
        <f t="array" ref="F1003">_xlfn.XLOOKUP(C1003,customers[Customer ID],customers[City],"")</f>
        <v>Columbus</v>
      </c>
      <c r="G1003">
        <v>114</v>
      </c>
      <c r="H1003" s="47" t="s">
        <v>36</v>
      </c>
      <c r="I1003" s="48">
        <v>45291</v>
      </c>
      <c r="J1003">
        <v>40</v>
      </c>
      <c r="K1003">
        <v>3.9</v>
      </c>
      <c r="L1003">
        <f>IF(MONTH(calls[[#This Row],[Date of Call]])&lt;=6,YEAR(calls[[#This Row],[Date of Call]]),YEAR(calls[[#This Row],[Date of Call]])+1)</f>
        <v>2024</v>
      </c>
      <c r="M1003" t="str">
        <f>TEXT(calls[[#This Row],[Date of Call]],"DDDD")</f>
        <v>Sunday</v>
      </c>
      <c r="N1003" t="str" cm="1">
        <f t="array" ref="N10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O1003">
        <f>ROUND(calls[[#This Row],[Satisfaction Rating]],0)</f>
        <v>4</v>
      </c>
      <c r="P1003" s="53">
        <f t="shared" si="15"/>
        <v>307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J10"/>
  <sheetViews>
    <sheetView zoomScale="75" zoomScaleNormal="75" workbookViewId="0">
      <selection activeCell="C13" sqref="C13"/>
    </sheetView>
  </sheetViews>
  <sheetFormatPr defaultColWidth="8.1" defaultRowHeight="13.8"/>
  <cols>
    <col min="5" max="5" width="9.79166666666667" customWidth="1"/>
    <col min="6" max="6" width="8.89166666666667" customWidth="1"/>
    <col min="10" max="10" width="12.5"/>
  </cols>
  <sheetData>
    <row r="2" spans="5:10">
      <c r="E2" t="s">
        <v>1084</v>
      </c>
      <c r="F2" t="s">
        <v>1085</v>
      </c>
    </row>
    <row r="3" ht="25.5" customHeight="1" spans="5:10">
      <c r="E3" t="s">
        <v>36</v>
      </c>
    </row>
    <row r="4" ht="25.5" customHeight="1" spans="5:10">
      <c r="E4" t="s">
        <v>37</v>
      </c>
      <c r="F4" t="e">
        <v>#VALUE!</v>
      </c>
    </row>
    <row r="5" ht="25.5" customHeight="1" spans="5:10">
      <c r="E5" t="s">
        <v>38</v>
      </c>
      <c r="F5" t="e">
        <v>#VALUE!</v>
      </c>
      <c r="I5" t="s">
        <v>1084</v>
      </c>
      <c r="J5" t="s">
        <v>1085</v>
      </c>
    </row>
    <row r="6" ht="25.5" customHeight="1" spans="5:10">
      <c r="E6" t="s">
        <v>39</v>
      </c>
      <c r="F6" t="e">
        <v>#VALUE!</v>
      </c>
      <c r="I6" t="s">
        <v>36</v>
      </c>
      <c r="J6" t="str">
        <f>_xlfn.DISPIMG("ID_EC911822DCF444EC8A14DF6B7BA76BC9",1)</f>
        <v>=DISPIMG("ID_EC911822DCF444EC8A14DF6B7BA76BC9",1)</v>
      </c>
    </row>
    <row r="7" ht="25.5" customHeight="1" spans="5:10">
      <c r="E7" t="s">
        <v>40</v>
      </c>
      <c r="F7" t="e">
        <v>#VALUE!</v>
      </c>
      <c r="I7" t="s">
        <v>37</v>
      </c>
      <c r="J7" t="str">
        <f>_xlfn.DISPIMG("ID_EC911822DCF444EC8A14DF6B7BA76BC9",1)</f>
        <v>=DISPIMG("ID_EC911822DCF444EC8A14DF6B7BA76BC9",1)</v>
      </c>
    </row>
    <row r="8" ht="73.1" spans="5:10">
      <c r="I8" t="s">
        <v>38</v>
      </c>
      <c r="J8" t="str">
        <f>_xlfn.DISPIMG("ID_EC911822DCF444EC8A14DF6B7BA76BC9",1)</f>
        <v>=DISPIMG("ID_EC911822DCF444EC8A14DF6B7BA76BC9",1)</v>
      </c>
    </row>
    <row r="9" ht="73.1" spans="5:10">
      <c r="I9" t="s">
        <v>39</v>
      </c>
      <c r="J9" t="str">
        <f>_xlfn.DISPIMG("ID_EC911822DCF444EC8A14DF6B7BA76BC9",1)</f>
        <v>=DISPIMG("ID_EC911822DCF444EC8A14DF6B7BA76BC9",1)</v>
      </c>
    </row>
    <row r="10" ht="73.1" spans="5:10">
      <c r="I10" t="s">
        <v>40</v>
      </c>
      <c r="J10" t="str">
        <f>_xlfn.DISPIMG("ID_EC911822DCF444EC8A14DF6B7BA76BC9",1)</f>
        <v>=DISPIMG("ID_EC911822DCF444EC8A14DF6B7BA76BC9",1)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4"/>
  <sheetViews>
    <sheetView tabSelected="1" zoomScale="96" zoomScaleNormal="96" workbookViewId="0">
      <selection activeCell="N9" sqref="N9"/>
    </sheetView>
  </sheetViews>
  <sheetFormatPr defaultColWidth="8.8" defaultRowHeight="13.8"/>
  <cols>
    <col min="8" max="8" width="10.8"/>
  </cols>
  <sheetData>
    <row r="1" spans="1:15">
      <c r="A1" t="s">
        <v>75</v>
      </c>
      <c r="B1" t="s">
        <v>58</v>
      </c>
      <c r="C1" t="s">
        <v>41</v>
      </c>
      <c r="D1" t="s">
        <v>76</v>
      </c>
      <c r="E1" t="s">
        <v>42</v>
      </c>
      <c r="F1" t="s">
        <v>77</v>
      </c>
      <c r="G1" t="s">
        <v>35</v>
      </c>
      <c r="H1" t="s">
        <v>78</v>
      </c>
      <c r="I1" t="s">
        <v>79</v>
      </c>
      <c r="J1" t="s">
        <v>80</v>
      </c>
      <c r="K1" t="s">
        <v>81</v>
      </c>
      <c r="L1" t="s">
        <v>20</v>
      </c>
      <c r="M1" t="s">
        <v>82</v>
      </c>
      <c r="N1" t="s">
        <v>55</v>
      </c>
      <c r="O1" t="s">
        <v>83</v>
      </c>
    </row>
    <row r="2" spans="1:15">
      <c r="A2" t="s">
        <v>96</v>
      </c>
      <c r="B2" t="s">
        <v>63</v>
      </c>
      <c r="C2" t="s">
        <v>44</v>
      </c>
      <c r="D2">
        <v>31</v>
      </c>
      <c r="E2" t="s">
        <v>47</v>
      </c>
      <c r="F2">
        <v>98</v>
      </c>
      <c r="G2" t="s">
        <v>37</v>
      </c>
      <c r="H2" s="36">
        <v>44930</v>
      </c>
      <c r="I2">
        <v>108</v>
      </c>
      <c r="J2">
        <v>3.5</v>
      </c>
      <c r="K2">
        <v>2023</v>
      </c>
      <c r="L2" t="s">
        <v>24</v>
      </c>
      <c r="M2" t="s">
        <v>1086</v>
      </c>
      <c r="N2">
        <v>4</v>
      </c>
      <c r="O2">
        <v>307</v>
      </c>
    </row>
    <row r="3" spans="1:15">
      <c r="A3" t="s">
        <v>97</v>
      </c>
      <c r="B3" t="s">
        <v>66</v>
      </c>
      <c r="C3" t="s">
        <v>43</v>
      </c>
      <c r="D3">
        <v>30</v>
      </c>
      <c r="E3" t="s">
        <v>47</v>
      </c>
      <c r="F3">
        <v>139</v>
      </c>
      <c r="G3" t="s">
        <v>37</v>
      </c>
      <c r="H3" s="36">
        <v>44930</v>
      </c>
      <c r="I3">
        <v>96</v>
      </c>
      <c r="J3">
        <v>4</v>
      </c>
      <c r="K3">
        <v>2023</v>
      </c>
      <c r="L3" t="s">
        <v>24</v>
      </c>
      <c r="M3" t="s">
        <v>1087</v>
      </c>
      <c r="N3">
        <v>4</v>
      </c>
      <c r="O3">
        <v>307</v>
      </c>
    </row>
    <row r="4" spans="1:15">
      <c r="A4" t="s">
        <v>98</v>
      </c>
      <c r="B4" t="s">
        <v>67</v>
      </c>
      <c r="C4" t="s">
        <v>43</v>
      </c>
      <c r="D4">
        <v>37</v>
      </c>
      <c r="E4" t="s">
        <v>47</v>
      </c>
      <c r="F4">
        <v>48</v>
      </c>
      <c r="G4" t="s">
        <v>36</v>
      </c>
      <c r="H4" s="36">
        <v>44930</v>
      </c>
      <c r="I4">
        <v>68</v>
      </c>
      <c r="J4">
        <v>4.9</v>
      </c>
      <c r="K4">
        <v>2023</v>
      </c>
      <c r="L4" t="s">
        <v>24</v>
      </c>
      <c r="M4" t="s">
        <v>1088</v>
      </c>
      <c r="N4">
        <v>5</v>
      </c>
      <c r="O4">
        <v>307</v>
      </c>
    </row>
    <row r="5" spans="1:15">
      <c r="A5" t="s">
        <v>125</v>
      </c>
      <c r="B5" t="s">
        <v>66</v>
      </c>
      <c r="C5" t="s">
        <v>43</v>
      </c>
      <c r="D5">
        <v>30</v>
      </c>
      <c r="E5" t="s">
        <v>47</v>
      </c>
      <c r="F5">
        <v>105</v>
      </c>
      <c r="G5" t="s">
        <v>37</v>
      </c>
      <c r="H5" s="36">
        <v>44944</v>
      </c>
      <c r="I5">
        <v>80</v>
      </c>
      <c r="J5">
        <v>4.7</v>
      </c>
      <c r="K5">
        <v>2023</v>
      </c>
      <c r="L5" t="s">
        <v>24</v>
      </c>
      <c r="M5" t="s">
        <v>1086</v>
      </c>
      <c r="N5">
        <v>5</v>
      </c>
      <c r="O5">
        <v>307</v>
      </c>
    </row>
    <row r="6" spans="1:15">
      <c r="A6" t="s">
        <v>126</v>
      </c>
      <c r="B6" t="s">
        <v>72</v>
      </c>
      <c r="C6" t="s">
        <v>43</v>
      </c>
      <c r="D6">
        <v>25</v>
      </c>
      <c r="E6" t="s">
        <v>48</v>
      </c>
      <c r="F6">
        <v>89</v>
      </c>
      <c r="G6" t="s">
        <v>40</v>
      </c>
      <c r="H6" s="36">
        <v>44944</v>
      </c>
      <c r="I6">
        <v>155</v>
      </c>
      <c r="J6">
        <v>4.1</v>
      </c>
      <c r="K6">
        <v>2023</v>
      </c>
      <c r="L6" t="s">
        <v>24</v>
      </c>
      <c r="M6" t="s">
        <v>1086</v>
      </c>
      <c r="N6">
        <v>4</v>
      </c>
      <c r="O6">
        <v>307</v>
      </c>
    </row>
    <row r="7" spans="1:15">
      <c r="A7" t="s">
        <v>127</v>
      </c>
      <c r="B7" t="s">
        <v>67</v>
      </c>
      <c r="C7" t="s">
        <v>43</v>
      </c>
      <c r="D7">
        <v>37</v>
      </c>
      <c r="E7" t="s">
        <v>47</v>
      </c>
      <c r="F7">
        <v>132</v>
      </c>
      <c r="G7" t="s">
        <v>38</v>
      </c>
      <c r="H7" s="36">
        <v>44944</v>
      </c>
      <c r="I7">
        <v>168</v>
      </c>
      <c r="J7">
        <v>4.1</v>
      </c>
      <c r="K7">
        <v>2023</v>
      </c>
      <c r="L7" t="s">
        <v>24</v>
      </c>
      <c r="M7" t="s">
        <v>1087</v>
      </c>
      <c r="N7">
        <v>4</v>
      </c>
      <c r="O7">
        <v>307</v>
      </c>
    </row>
    <row r="8" spans="1:15">
      <c r="A8" t="s">
        <v>128</v>
      </c>
      <c r="B8" t="s">
        <v>69</v>
      </c>
      <c r="C8" t="s">
        <v>44</v>
      </c>
      <c r="D8">
        <v>41</v>
      </c>
      <c r="E8" t="s">
        <v>48</v>
      </c>
      <c r="F8">
        <v>105</v>
      </c>
      <c r="G8" t="s">
        <v>36</v>
      </c>
      <c r="H8" s="36">
        <v>44944</v>
      </c>
      <c r="I8">
        <v>56</v>
      </c>
      <c r="J8">
        <v>3.6</v>
      </c>
      <c r="K8">
        <v>2023</v>
      </c>
      <c r="L8" t="s">
        <v>24</v>
      </c>
      <c r="M8" t="s">
        <v>1086</v>
      </c>
      <c r="N8">
        <v>4</v>
      </c>
      <c r="O8">
        <v>307</v>
      </c>
    </row>
    <row r="9" spans="1:15">
      <c r="A9" t="s">
        <v>147</v>
      </c>
      <c r="B9" t="s">
        <v>67</v>
      </c>
      <c r="C9" t="s">
        <v>43</v>
      </c>
      <c r="D9">
        <v>37</v>
      </c>
      <c r="E9" t="s">
        <v>47</v>
      </c>
      <c r="F9">
        <v>71</v>
      </c>
      <c r="G9" t="s">
        <v>40</v>
      </c>
      <c r="H9" s="36">
        <v>44951</v>
      </c>
      <c r="I9">
        <v>90</v>
      </c>
      <c r="J9">
        <v>3.8</v>
      </c>
      <c r="K9">
        <v>2023</v>
      </c>
      <c r="L9" t="s">
        <v>24</v>
      </c>
      <c r="M9" t="s">
        <v>1086</v>
      </c>
      <c r="N9">
        <v>4</v>
      </c>
      <c r="O9">
        <v>307</v>
      </c>
    </row>
    <row r="10" spans="1:15">
      <c r="A10" t="s">
        <v>148</v>
      </c>
      <c r="B10" t="s">
        <v>69</v>
      </c>
      <c r="C10" t="s">
        <v>44</v>
      </c>
      <c r="D10">
        <v>41</v>
      </c>
      <c r="E10" t="s">
        <v>48</v>
      </c>
      <c r="F10">
        <v>147</v>
      </c>
      <c r="G10" t="s">
        <v>39</v>
      </c>
      <c r="H10" s="36">
        <v>44951</v>
      </c>
      <c r="I10">
        <v>105</v>
      </c>
      <c r="J10">
        <v>4.4</v>
      </c>
      <c r="K10">
        <v>2023</v>
      </c>
      <c r="L10" t="s">
        <v>24</v>
      </c>
      <c r="M10" t="s">
        <v>1087</v>
      </c>
      <c r="N10">
        <v>4</v>
      </c>
      <c r="O10">
        <v>307</v>
      </c>
    </row>
    <row r="11" spans="1:15">
      <c r="A11" t="s">
        <v>163</v>
      </c>
      <c r="B11" t="s">
        <v>72</v>
      </c>
      <c r="C11" t="s">
        <v>43</v>
      </c>
      <c r="D11">
        <v>25</v>
      </c>
      <c r="E11" t="s">
        <v>48</v>
      </c>
      <c r="F11">
        <v>79</v>
      </c>
      <c r="G11" t="s">
        <v>38</v>
      </c>
      <c r="H11" s="36">
        <v>44958</v>
      </c>
      <c r="I11">
        <v>148</v>
      </c>
      <c r="J11">
        <v>4.5</v>
      </c>
      <c r="K11">
        <v>2023</v>
      </c>
      <c r="L11" t="s">
        <v>24</v>
      </c>
      <c r="M11" t="s">
        <v>1086</v>
      </c>
      <c r="N11">
        <v>5</v>
      </c>
      <c r="O11">
        <v>307</v>
      </c>
    </row>
    <row r="12" spans="1:15">
      <c r="A12" t="s">
        <v>164</v>
      </c>
      <c r="B12" t="s">
        <v>66</v>
      </c>
      <c r="C12" t="s">
        <v>43</v>
      </c>
      <c r="D12">
        <v>30</v>
      </c>
      <c r="E12" t="s">
        <v>47</v>
      </c>
      <c r="F12">
        <v>45</v>
      </c>
      <c r="G12" t="s">
        <v>39</v>
      </c>
      <c r="H12" s="36">
        <v>44958</v>
      </c>
      <c r="I12">
        <v>34</v>
      </c>
      <c r="J12">
        <v>3.7</v>
      </c>
      <c r="K12">
        <v>2023</v>
      </c>
      <c r="L12" t="s">
        <v>24</v>
      </c>
      <c r="M12" t="s">
        <v>1088</v>
      </c>
      <c r="N12">
        <v>4</v>
      </c>
      <c r="O12">
        <v>307</v>
      </c>
    </row>
    <row r="13" spans="1:15">
      <c r="A13" t="s">
        <v>165</v>
      </c>
      <c r="B13" t="s">
        <v>61</v>
      </c>
      <c r="C13" t="s">
        <v>43</v>
      </c>
      <c r="D13">
        <v>30</v>
      </c>
      <c r="E13" t="s">
        <v>45</v>
      </c>
      <c r="F13">
        <v>137</v>
      </c>
      <c r="G13" t="s">
        <v>38</v>
      </c>
      <c r="H13" s="36">
        <v>44958</v>
      </c>
      <c r="I13">
        <v>86</v>
      </c>
      <c r="J13">
        <v>4.8</v>
      </c>
      <c r="K13">
        <v>2023</v>
      </c>
      <c r="L13" t="s">
        <v>24</v>
      </c>
      <c r="M13" t="s">
        <v>1087</v>
      </c>
      <c r="N13">
        <v>5</v>
      </c>
      <c r="O13">
        <v>307</v>
      </c>
    </row>
    <row r="14" spans="1:15">
      <c r="A14" t="s">
        <v>166</v>
      </c>
      <c r="B14" t="s">
        <v>65</v>
      </c>
      <c r="C14" t="s">
        <v>43</v>
      </c>
      <c r="D14">
        <v>42</v>
      </c>
      <c r="E14" t="s">
        <v>47</v>
      </c>
      <c r="F14">
        <v>109</v>
      </c>
      <c r="G14" t="s">
        <v>40</v>
      </c>
      <c r="H14" s="36">
        <v>44958</v>
      </c>
      <c r="I14">
        <v>105</v>
      </c>
      <c r="J14">
        <v>3.3</v>
      </c>
      <c r="K14">
        <v>2023</v>
      </c>
      <c r="L14" t="s">
        <v>24</v>
      </c>
      <c r="M14" t="s">
        <v>1086</v>
      </c>
      <c r="N14">
        <v>3</v>
      </c>
      <c r="O14">
        <v>307</v>
      </c>
    </row>
    <row r="15" spans="1:15">
      <c r="A15" t="s">
        <v>167</v>
      </c>
      <c r="B15" t="s">
        <v>60</v>
      </c>
      <c r="C15" t="s">
        <v>44</v>
      </c>
      <c r="D15">
        <v>36</v>
      </c>
      <c r="E15" t="s">
        <v>45</v>
      </c>
      <c r="F15">
        <v>78</v>
      </c>
      <c r="G15" t="s">
        <v>40</v>
      </c>
      <c r="H15" s="36">
        <v>44958</v>
      </c>
      <c r="I15">
        <v>62</v>
      </c>
      <c r="J15">
        <v>3.1</v>
      </c>
      <c r="K15">
        <v>2023</v>
      </c>
      <c r="L15" t="s">
        <v>24</v>
      </c>
      <c r="M15" t="s">
        <v>1086</v>
      </c>
      <c r="N15">
        <v>3</v>
      </c>
      <c r="O15">
        <v>307</v>
      </c>
    </row>
    <row r="16" spans="1:15">
      <c r="A16" t="s">
        <v>168</v>
      </c>
      <c r="B16" t="s">
        <v>61</v>
      </c>
      <c r="C16" t="s">
        <v>43</v>
      </c>
      <c r="D16">
        <v>30</v>
      </c>
      <c r="E16" t="s">
        <v>45</v>
      </c>
      <c r="F16">
        <v>137</v>
      </c>
      <c r="G16" t="s">
        <v>39</v>
      </c>
      <c r="H16" s="36">
        <v>44958</v>
      </c>
      <c r="I16">
        <v>90</v>
      </c>
      <c r="J16">
        <v>4.1</v>
      </c>
      <c r="K16">
        <v>2023</v>
      </c>
      <c r="L16" t="s">
        <v>24</v>
      </c>
      <c r="M16" t="s">
        <v>1087</v>
      </c>
      <c r="N16">
        <v>4</v>
      </c>
      <c r="O16">
        <v>307</v>
      </c>
    </row>
    <row r="17" spans="1:15">
      <c r="A17" t="s">
        <v>179</v>
      </c>
      <c r="B17" t="s">
        <v>71</v>
      </c>
      <c r="C17" t="s">
        <v>44</v>
      </c>
      <c r="D17">
        <v>23</v>
      </c>
      <c r="E17" t="s">
        <v>48</v>
      </c>
      <c r="F17">
        <v>60</v>
      </c>
      <c r="G17" t="s">
        <v>40</v>
      </c>
      <c r="H17" s="36">
        <v>44965</v>
      </c>
      <c r="I17">
        <v>69</v>
      </c>
      <c r="J17">
        <v>4.3</v>
      </c>
      <c r="K17">
        <v>2023</v>
      </c>
      <c r="L17" t="s">
        <v>24</v>
      </c>
      <c r="M17" t="s">
        <v>1088</v>
      </c>
      <c r="N17">
        <v>4</v>
      </c>
      <c r="O17">
        <v>307</v>
      </c>
    </row>
    <row r="18" spans="1:15">
      <c r="A18" t="s">
        <v>180</v>
      </c>
      <c r="B18" t="s">
        <v>62</v>
      </c>
      <c r="C18" t="s">
        <v>43</v>
      </c>
      <c r="D18">
        <v>28</v>
      </c>
      <c r="E18" t="s">
        <v>45</v>
      </c>
      <c r="F18">
        <v>95</v>
      </c>
      <c r="G18" t="s">
        <v>37</v>
      </c>
      <c r="H18" s="36">
        <v>44965</v>
      </c>
      <c r="I18">
        <v>130</v>
      </c>
      <c r="J18">
        <v>5</v>
      </c>
      <c r="K18">
        <v>2023</v>
      </c>
      <c r="L18" t="s">
        <v>24</v>
      </c>
      <c r="M18" t="s">
        <v>1086</v>
      </c>
      <c r="N18">
        <v>5</v>
      </c>
      <c r="O18">
        <v>307</v>
      </c>
    </row>
    <row r="19" spans="1:15">
      <c r="A19" t="s">
        <v>181</v>
      </c>
      <c r="B19" t="s">
        <v>59</v>
      </c>
      <c r="C19" t="s">
        <v>44</v>
      </c>
      <c r="D19">
        <v>26</v>
      </c>
      <c r="E19" t="s">
        <v>45</v>
      </c>
      <c r="F19">
        <v>96</v>
      </c>
      <c r="G19" t="s">
        <v>38</v>
      </c>
      <c r="H19" s="36">
        <v>44965</v>
      </c>
      <c r="I19">
        <v>120</v>
      </c>
      <c r="J19">
        <v>4</v>
      </c>
      <c r="K19">
        <v>2023</v>
      </c>
      <c r="L19" t="s">
        <v>24</v>
      </c>
      <c r="M19" t="s">
        <v>1086</v>
      </c>
      <c r="N19">
        <v>4</v>
      </c>
      <c r="O19">
        <v>307</v>
      </c>
    </row>
    <row r="20" spans="1:15">
      <c r="A20" t="s">
        <v>194</v>
      </c>
      <c r="B20" t="s">
        <v>60</v>
      </c>
      <c r="C20" t="s">
        <v>44</v>
      </c>
      <c r="D20">
        <v>36</v>
      </c>
      <c r="E20" t="s">
        <v>45</v>
      </c>
      <c r="F20">
        <v>95</v>
      </c>
      <c r="G20" t="s">
        <v>37</v>
      </c>
      <c r="H20" s="36">
        <v>44972</v>
      </c>
      <c r="I20">
        <v>120</v>
      </c>
      <c r="J20">
        <v>4.8</v>
      </c>
      <c r="K20">
        <v>2023</v>
      </c>
      <c r="L20" t="s">
        <v>24</v>
      </c>
      <c r="M20" t="s">
        <v>1086</v>
      </c>
      <c r="N20">
        <v>5</v>
      </c>
      <c r="O20">
        <v>307</v>
      </c>
    </row>
    <row r="21" spans="1:15">
      <c r="A21" t="s">
        <v>195</v>
      </c>
      <c r="B21" t="s">
        <v>71</v>
      </c>
      <c r="C21" t="s">
        <v>44</v>
      </c>
      <c r="D21">
        <v>23</v>
      </c>
      <c r="E21" t="s">
        <v>48</v>
      </c>
      <c r="F21">
        <v>30</v>
      </c>
      <c r="G21" t="s">
        <v>38</v>
      </c>
      <c r="H21" s="36">
        <v>44972</v>
      </c>
      <c r="I21">
        <v>105</v>
      </c>
      <c r="J21">
        <v>3.6</v>
      </c>
      <c r="K21">
        <v>2023</v>
      </c>
      <c r="L21" t="s">
        <v>24</v>
      </c>
      <c r="M21" t="s">
        <v>1089</v>
      </c>
      <c r="N21">
        <v>4</v>
      </c>
      <c r="O21">
        <v>307</v>
      </c>
    </row>
    <row r="22" spans="1:15">
      <c r="A22" t="s">
        <v>196</v>
      </c>
      <c r="B22" t="s">
        <v>61</v>
      </c>
      <c r="C22" t="s">
        <v>43</v>
      </c>
      <c r="D22">
        <v>30</v>
      </c>
      <c r="E22" t="s">
        <v>45</v>
      </c>
      <c r="F22">
        <v>19</v>
      </c>
      <c r="G22" t="s">
        <v>36</v>
      </c>
      <c r="H22" s="36">
        <v>44972</v>
      </c>
      <c r="I22">
        <v>28</v>
      </c>
      <c r="J22">
        <v>4.9</v>
      </c>
      <c r="K22">
        <v>2023</v>
      </c>
      <c r="L22" t="s">
        <v>24</v>
      </c>
      <c r="M22" t="s">
        <v>1089</v>
      </c>
      <c r="N22">
        <v>5</v>
      </c>
      <c r="O22">
        <v>307</v>
      </c>
    </row>
    <row r="23" spans="1:15">
      <c r="A23" t="s">
        <v>197</v>
      </c>
      <c r="B23" t="s">
        <v>66</v>
      </c>
      <c r="C23" t="s">
        <v>43</v>
      </c>
      <c r="D23">
        <v>30</v>
      </c>
      <c r="E23" t="s">
        <v>47</v>
      </c>
      <c r="F23">
        <v>38</v>
      </c>
      <c r="G23" t="s">
        <v>39</v>
      </c>
      <c r="H23" s="36">
        <v>44972</v>
      </c>
      <c r="I23">
        <v>100</v>
      </c>
      <c r="J23">
        <v>4.8</v>
      </c>
      <c r="K23">
        <v>2023</v>
      </c>
      <c r="L23" t="s">
        <v>24</v>
      </c>
      <c r="M23" t="s">
        <v>1088</v>
      </c>
      <c r="N23">
        <v>5</v>
      </c>
      <c r="O23">
        <v>307</v>
      </c>
    </row>
    <row r="24" spans="1:15">
      <c r="A24" t="s">
        <v>198</v>
      </c>
      <c r="B24" t="s">
        <v>67</v>
      </c>
      <c r="C24" t="s">
        <v>43</v>
      </c>
      <c r="D24">
        <v>37</v>
      </c>
      <c r="E24" t="s">
        <v>47</v>
      </c>
      <c r="F24">
        <v>55</v>
      </c>
      <c r="G24" t="s">
        <v>36</v>
      </c>
      <c r="H24" s="36">
        <v>44972</v>
      </c>
      <c r="I24">
        <v>23</v>
      </c>
      <c r="J24">
        <v>3.6</v>
      </c>
      <c r="K24">
        <v>2023</v>
      </c>
      <c r="L24" t="s">
        <v>24</v>
      </c>
      <c r="M24" t="s">
        <v>1088</v>
      </c>
      <c r="N24">
        <v>4</v>
      </c>
      <c r="O24">
        <v>307</v>
      </c>
    </row>
    <row r="25" spans="1:15">
      <c r="A25" t="s">
        <v>214</v>
      </c>
      <c r="B25" t="s">
        <v>69</v>
      </c>
      <c r="C25" t="s">
        <v>44</v>
      </c>
      <c r="D25">
        <v>41</v>
      </c>
      <c r="E25" t="s">
        <v>48</v>
      </c>
      <c r="F25">
        <v>61</v>
      </c>
      <c r="G25" t="s">
        <v>38</v>
      </c>
      <c r="H25" s="36">
        <v>44979</v>
      </c>
      <c r="I25">
        <v>140</v>
      </c>
      <c r="J25">
        <v>3.4</v>
      </c>
      <c r="K25">
        <v>2023</v>
      </c>
      <c r="L25" t="s">
        <v>24</v>
      </c>
      <c r="M25" t="s">
        <v>1086</v>
      </c>
      <c r="N25">
        <v>3</v>
      </c>
      <c r="O25">
        <v>307</v>
      </c>
    </row>
    <row r="26" spans="1:15">
      <c r="A26" t="s">
        <v>215</v>
      </c>
      <c r="B26" t="s">
        <v>66</v>
      </c>
      <c r="C26" t="s">
        <v>43</v>
      </c>
      <c r="D26">
        <v>30</v>
      </c>
      <c r="E26" t="s">
        <v>47</v>
      </c>
      <c r="F26">
        <v>154</v>
      </c>
      <c r="G26" t="s">
        <v>36</v>
      </c>
      <c r="H26" s="36">
        <v>44979</v>
      </c>
      <c r="I26">
        <v>22</v>
      </c>
      <c r="J26">
        <v>3.4</v>
      </c>
      <c r="K26">
        <v>2023</v>
      </c>
      <c r="L26" t="s">
        <v>24</v>
      </c>
      <c r="M26" t="s">
        <v>1087</v>
      </c>
      <c r="N26">
        <v>3</v>
      </c>
      <c r="O26">
        <v>307</v>
      </c>
    </row>
    <row r="27" spans="1:15">
      <c r="A27" t="s">
        <v>229</v>
      </c>
      <c r="B27" t="s">
        <v>61</v>
      </c>
      <c r="C27" t="s">
        <v>43</v>
      </c>
      <c r="D27">
        <v>30</v>
      </c>
      <c r="E27" t="s">
        <v>45</v>
      </c>
      <c r="F27">
        <v>155</v>
      </c>
      <c r="G27" t="s">
        <v>38</v>
      </c>
      <c r="H27" s="36">
        <v>44986</v>
      </c>
      <c r="I27">
        <v>132</v>
      </c>
      <c r="J27">
        <v>4.6</v>
      </c>
      <c r="K27">
        <v>2023</v>
      </c>
      <c r="L27" t="s">
        <v>24</v>
      </c>
      <c r="M27" t="s">
        <v>1087</v>
      </c>
      <c r="N27">
        <v>5</v>
      </c>
      <c r="O27">
        <v>307</v>
      </c>
    </row>
    <row r="28" spans="1:15">
      <c r="A28" t="s">
        <v>230</v>
      </c>
      <c r="B28" t="s">
        <v>61</v>
      </c>
      <c r="C28" t="s">
        <v>43</v>
      </c>
      <c r="D28">
        <v>30</v>
      </c>
      <c r="E28" t="s">
        <v>45</v>
      </c>
      <c r="F28">
        <v>90</v>
      </c>
      <c r="G28" t="s">
        <v>39</v>
      </c>
      <c r="H28" s="36">
        <v>44986</v>
      </c>
      <c r="I28">
        <v>170</v>
      </c>
      <c r="J28">
        <v>3.7</v>
      </c>
      <c r="K28">
        <v>2023</v>
      </c>
      <c r="L28" t="s">
        <v>24</v>
      </c>
      <c r="M28" t="s">
        <v>1086</v>
      </c>
      <c r="N28">
        <v>4</v>
      </c>
      <c r="O28">
        <v>307</v>
      </c>
    </row>
    <row r="29" spans="1:15">
      <c r="A29" t="s">
        <v>231</v>
      </c>
      <c r="B29" t="s">
        <v>71</v>
      </c>
      <c r="C29" t="s">
        <v>44</v>
      </c>
      <c r="D29">
        <v>23</v>
      </c>
      <c r="E29" t="s">
        <v>48</v>
      </c>
      <c r="F29">
        <v>166</v>
      </c>
      <c r="G29" t="s">
        <v>37</v>
      </c>
      <c r="H29" s="36">
        <v>44986</v>
      </c>
      <c r="I29">
        <v>36</v>
      </c>
      <c r="J29">
        <v>3.8</v>
      </c>
      <c r="K29">
        <v>2023</v>
      </c>
      <c r="L29" t="s">
        <v>24</v>
      </c>
      <c r="M29" t="s">
        <v>1087</v>
      </c>
      <c r="N29">
        <v>4</v>
      </c>
      <c r="O29">
        <v>307</v>
      </c>
    </row>
    <row r="30" spans="1:15">
      <c r="A30" t="s">
        <v>232</v>
      </c>
      <c r="B30" t="s">
        <v>63</v>
      </c>
      <c r="C30" t="s">
        <v>44</v>
      </c>
      <c r="D30">
        <v>31</v>
      </c>
      <c r="E30" t="s">
        <v>47</v>
      </c>
      <c r="F30">
        <v>89</v>
      </c>
      <c r="G30" t="s">
        <v>38</v>
      </c>
      <c r="H30" s="36">
        <v>44986</v>
      </c>
      <c r="I30">
        <v>126</v>
      </c>
      <c r="J30">
        <v>3.6</v>
      </c>
      <c r="K30">
        <v>2023</v>
      </c>
      <c r="L30" t="s">
        <v>24</v>
      </c>
      <c r="M30" t="s">
        <v>1086</v>
      </c>
      <c r="N30">
        <v>4</v>
      </c>
      <c r="O30">
        <v>307</v>
      </c>
    </row>
    <row r="31" spans="1:15">
      <c r="A31" t="s">
        <v>233</v>
      </c>
      <c r="B31" t="s">
        <v>68</v>
      </c>
      <c r="C31" t="s">
        <v>43</v>
      </c>
      <c r="D31">
        <v>43</v>
      </c>
      <c r="E31" t="s">
        <v>47</v>
      </c>
      <c r="F31">
        <v>152</v>
      </c>
      <c r="G31" t="s">
        <v>36</v>
      </c>
      <c r="H31" s="36">
        <v>44986</v>
      </c>
      <c r="I31">
        <v>215</v>
      </c>
      <c r="J31">
        <v>4.4</v>
      </c>
      <c r="K31">
        <v>2023</v>
      </c>
      <c r="L31" t="s">
        <v>24</v>
      </c>
      <c r="M31" t="s">
        <v>1087</v>
      </c>
      <c r="N31">
        <v>4</v>
      </c>
      <c r="O31">
        <v>307</v>
      </c>
    </row>
    <row r="32" spans="1:15">
      <c r="A32" t="s">
        <v>234</v>
      </c>
      <c r="B32" t="s">
        <v>63</v>
      </c>
      <c r="C32" t="s">
        <v>44</v>
      </c>
      <c r="D32">
        <v>31</v>
      </c>
      <c r="E32" t="s">
        <v>47</v>
      </c>
      <c r="F32">
        <v>137</v>
      </c>
      <c r="G32" t="s">
        <v>39</v>
      </c>
      <c r="H32" s="36">
        <v>44986</v>
      </c>
      <c r="I32">
        <v>114</v>
      </c>
      <c r="J32">
        <v>3.2</v>
      </c>
      <c r="K32">
        <v>2023</v>
      </c>
      <c r="L32" t="s">
        <v>24</v>
      </c>
      <c r="M32" t="s">
        <v>1087</v>
      </c>
      <c r="N32">
        <v>3</v>
      </c>
      <c r="O32">
        <v>307</v>
      </c>
    </row>
    <row r="33" spans="1:15">
      <c r="A33" t="s">
        <v>235</v>
      </c>
      <c r="B33" t="s">
        <v>63</v>
      </c>
      <c r="C33" t="s">
        <v>44</v>
      </c>
      <c r="D33">
        <v>31</v>
      </c>
      <c r="E33" t="s">
        <v>47</v>
      </c>
      <c r="F33">
        <v>43</v>
      </c>
      <c r="G33" t="s">
        <v>39</v>
      </c>
      <c r="H33" s="36">
        <v>44986</v>
      </c>
      <c r="I33">
        <v>99</v>
      </c>
      <c r="J33">
        <v>4.7</v>
      </c>
      <c r="K33">
        <v>2023</v>
      </c>
      <c r="L33" t="s">
        <v>24</v>
      </c>
      <c r="M33" t="s">
        <v>1088</v>
      </c>
      <c r="N33">
        <v>5</v>
      </c>
      <c r="O33">
        <v>307</v>
      </c>
    </row>
    <row r="34" spans="1:15">
      <c r="A34" t="s">
        <v>273</v>
      </c>
      <c r="B34" t="s">
        <v>65</v>
      </c>
      <c r="C34" t="s">
        <v>43</v>
      </c>
      <c r="D34">
        <v>42</v>
      </c>
      <c r="E34" t="s">
        <v>47</v>
      </c>
      <c r="F34">
        <v>103</v>
      </c>
      <c r="G34" t="s">
        <v>37</v>
      </c>
      <c r="H34" s="36">
        <v>44993</v>
      </c>
      <c r="I34">
        <v>117</v>
      </c>
      <c r="J34">
        <v>3</v>
      </c>
      <c r="K34">
        <v>2023</v>
      </c>
      <c r="L34" t="s">
        <v>24</v>
      </c>
      <c r="M34" t="s">
        <v>1086</v>
      </c>
      <c r="N34">
        <v>3</v>
      </c>
      <c r="O34">
        <v>307</v>
      </c>
    </row>
    <row r="35" spans="1:15">
      <c r="A35" t="s">
        <v>305</v>
      </c>
      <c r="B35" t="s">
        <v>60</v>
      </c>
      <c r="C35" t="s">
        <v>44</v>
      </c>
      <c r="D35">
        <v>36</v>
      </c>
      <c r="E35" t="s">
        <v>45</v>
      </c>
      <c r="F35">
        <v>139</v>
      </c>
      <c r="G35" t="s">
        <v>39</v>
      </c>
      <c r="H35" s="36">
        <v>45000</v>
      </c>
      <c r="I35">
        <v>48</v>
      </c>
      <c r="J35">
        <v>4.7</v>
      </c>
      <c r="K35">
        <v>2023</v>
      </c>
      <c r="L35" t="s">
        <v>24</v>
      </c>
      <c r="M35" t="s">
        <v>1087</v>
      </c>
      <c r="N35">
        <v>5</v>
      </c>
      <c r="O35">
        <v>307</v>
      </c>
    </row>
    <row r="36" spans="1:15">
      <c r="A36" t="s">
        <v>306</v>
      </c>
      <c r="B36" t="s">
        <v>67</v>
      </c>
      <c r="C36" t="s">
        <v>43</v>
      </c>
      <c r="D36">
        <v>37</v>
      </c>
      <c r="E36" t="s">
        <v>47</v>
      </c>
      <c r="F36">
        <v>59</v>
      </c>
      <c r="G36" t="s">
        <v>39</v>
      </c>
      <c r="H36" s="36">
        <v>45000</v>
      </c>
      <c r="I36">
        <v>64</v>
      </c>
      <c r="J36">
        <v>4</v>
      </c>
      <c r="K36">
        <v>2023</v>
      </c>
      <c r="L36" t="s">
        <v>24</v>
      </c>
      <c r="M36" t="s">
        <v>1088</v>
      </c>
      <c r="N36">
        <v>4</v>
      </c>
      <c r="O36">
        <v>307</v>
      </c>
    </row>
    <row r="37" spans="1:15">
      <c r="A37" t="s">
        <v>307</v>
      </c>
      <c r="B37" t="s">
        <v>71</v>
      </c>
      <c r="C37" t="s">
        <v>44</v>
      </c>
      <c r="D37">
        <v>23</v>
      </c>
      <c r="E37" t="s">
        <v>48</v>
      </c>
      <c r="F37">
        <v>138</v>
      </c>
      <c r="G37" t="s">
        <v>40</v>
      </c>
      <c r="H37" s="36">
        <v>45000</v>
      </c>
      <c r="I37">
        <v>44</v>
      </c>
      <c r="J37">
        <v>3.8</v>
      </c>
      <c r="K37">
        <v>2023</v>
      </c>
      <c r="L37" t="s">
        <v>24</v>
      </c>
      <c r="M37" t="s">
        <v>1087</v>
      </c>
      <c r="N37">
        <v>4</v>
      </c>
      <c r="O37">
        <v>307</v>
      </c>
    </row>
    <row r="38" spans="1:15">
      <c r="A38" t="s">
        <v>308</v>
      </c>
      <c r="B38" t="s">
        <v>60</v>
      </c>
      <c r="C38" t="s">
        <v>44</v>
      </c>
      <c r="D38">
        <v>36</v>
      </c>
      <c r="E38" t="s">
        <v>45</v>
      </c>
      <c r="F38">
        <v>47</v>
      </c>
      <c r="G38" t="s">
        <v>37</v>
      </c>
      <c r="H38" s="36">
        <v>45000</v>
      </c>
      <c r="I38">
        <v>120</v>
      </c>
      <c r="J38">
        <v>3.1</v>
      </c>
      <c r="K38">
        <v>2023</v>
      </c>
      <c r="L38" t="s">
        <v>24</v>
      </c>
      <c r="M38" t="s">
        <v>1088</v>
      </c>
      <c r="N38">
        <v>3</v>
      </c>
      <c r="O38">
        <v>307</v>
      </c>
    </row>
    <row r="39" spans="1:15">
      <c r="A39" t="s">
        <v>309</v>
      </c>
      <c r="B39" t="s">
        <v>71</v>
      </c>
      <c r="C39" t="s">
        <v>44</v>
      </c>
      <c r="D39">
        <v>23</v>
      </c>
      <c r="E39" t="s">
        <v>48</v>
      </c>
      <c r="F39">
        <v>74</v>
      </c>
      <c r="G39" t="s">
        <v>37</v>
      </c>
      <c r="H39" s="36">
        <v>45000</v>
      </c>
      <c r="I39">
        <v>144</v>
      </c>
      <c r="J39">
        <v>4.8</v>
      </c>
      <c r="K39">
        <v>2023</v>
      </c>
      <c r="L39" t="s">
        <v>24</v>
      </c>
      <c r="M39" t="s">
        <v>1086</v>
      </c>
      <c r="N39">
        <v>5</v>
      </c>
      <c r="O39">
        <v>307</v>
      </c>
    </row>
    <row r="40" spans="1:15">
      <c r="A40" t="s">
        <v>310</v>
      </c>
      <c r="B40" t="s">
        <v>72</v>
      </c>
      <c r="C40" t="s">
        <v>43</v>
      </c>
      <c r="D40">
        <v>25</v>
      </c>
      <c r="E40" t="s">
        <v>48</v>
      </c>
      <c r="F40">
        <v>65</v>
      </c>
      <c r="G40" t="s">
        <v>37</v>
      </c>
      <c r="H40" s="36">
        <v>45000</v>
      </c>
      <c r="I40">
        <v>87</v>
      </c>
      <c r="J40">
        <v>2.7</v>
      </c>
      <c r="K40">
        <v>2023</v>
      </c>
      <c r="L40" t="s">
        <v>24</v>
      </c>
      <c r="M40" t="s">
        <v>1086</v>
      </c>
      <c r="N40">
        <v>3</v>
      </c>
      <c r="O40">
        <v>307</v>
      </c>
    </row>
    <row r="41" spans="1:15">
      <c r="A41" t="s">
        <v>311</v>
      </c>
      <c r="B41" t="s">
        <v>61</v>
      </c>
      <c r="C41" t="s">
        <v>43</v>
      </c>
      <c r="D41">
        <v>30</v>
      </c>
      <c r="E41" t="s">
        <v>45</v>
      </c>
      <c r="F41">
        <v>123</v>
      </c>
      <c r="G41" t="s">
        <v>38</v>
      </c>
      <c r="H41" s="36">
        <v>45000</v>
      </c>
      <c r="I41">
        <v>36</v>
      </c>
      <c r="J41">
        <v>3.6</v>
      </c>
      <c r="K41">
        <v>2023</v>
      </c>
      <c r="L41" t="s">
        <v>24</v>
      </c>
      <c r="M41" t="s">
        <v>1087</v>
      </c>
      <c r="N41">
        <v>4</v>
      </c>
      <c r="O41">
        <v>307</v>
      </c>
    </row>
    <row r="42" spans="1:15">
      <c r="A42" t="s">
        <v>343</v>
      </c>
      <c r="B42" t="s">
        <v>62</v>
      </c>
      <c r="C42" t="s">
        <v>43</v>
      </c>
      <c r="D42">
        <v>28</v>
      </c>
      <c r="E42" t="s">
        <v>45</v>
      </c>
      <c r="F42">
        <v>58</v>
      </c>
      <c r="G42" t="s">
        <v>36</v>
      </c>
      <c r="H42" s="36">
        <v>45007</v>
      </c>
      <c r="I42">
        <v>176</v>
      </c>
      <c r="J42">
        <v>4.2</v>
      </c>
      <c r="K42">
        <v>2023</v>
      </c>
      <c r="L42" t="s">
        <v>24</v>
      </c>
      <c r="M42" t="s">
        <v>1088</v>
      </c>
      <c r="N42">
        <v>4</v>
      </c>
      <c r="O42">
        <v>307</v>
      </c>
    </row>
    <row r="43" spans="1:15">
      <c r="A43" t="s">
        <v>344</v>
      </c>
      <c r="B43" t="s">
        <v>61</v>
      </c>
      <c r="C43" t="s">
        <v>43</v>
      </c>
      <c r="D43">
        <v>30</v>
      </c>
      <c r="E43" t="s">
        <v>45</v>
      </c>
      <c r="F43">
        <v>63</v>
      </c>
      <c r="G43" t="s">
        <v>38</v>
      </c>
      <c r="H43" s="36">
        <v>45007</v>
      </c>
      <c r="I43">
        <v>87</v>
      </c>
      <c r="J43">
        <v>4.6</v>
      </c>
      <c r="K43">
        <v>2023</v>
      </c>
      <c r="L43" t="s">
        <v>24</v>
      </c>
      <c r="M43" t="s">
        <v>1086</v>
      </c>
      <c r="N43">
        <v>5</v>
      </c>
      <c r="O43">
        <v>307</v>
      </c>
    </row>
    <row r="44" spans="1:15">
      <c r="A44" t="s">
        <v>345</v>
      </c>
      <c r="B44" t="s">
        <v>72</v>
      </c>
      <c r="C44" t="s">
        <v>43</v>
      </c>
      <c r="D44">
        <v>25</v>
      </c>
      <c r="E44" t="s">
        <v>48</v>
      </c>
      <c r="F44">
        <v>59</v>
      </c>
      <c r="G44" t="s">
        <v>37</v>
      </c>
      <c r="H44" s="36">
        <v>45007</v>
      </c>
      <c r="I44">
        <v>128</v>
      </c>
      <c r="J44">
        <v>4.5</v>
      </c>
      <c r="K44">
        <v>2023</v>
      </c>
      <c r="L44" t="s">
        <v>24</v>
      </c>
      <c r="M44" t="s">
        <v>1088</v>
      </c>
      <c r="N44">
        <v>5</v>
      </c>
      <c r="O44">
        <v>307</v>
      </c>
    </row>
    <row r="45" spans="1:15">
      <c r="A45" t="s">
        <v>346</v>
      </c>
      <c r="B45" t="s">
        <v>65</v>
      </c>
      <c r="C45" t="s">
        <v>43</v>
      </c>
      <c r="D45">
        <v>42</v>
      </c>
      <c r="E45" t="s">
        <v>47</v>
      </c>
      <c r="F45">
        <v>129</v>
      </c>
      <c r="G45" t="s">
        <v>38</v>
      </c>
      <c r="H45" s="36">
        <v>45007</v>
      </c>
      <c r="I45">
        <v>120</v>
      </c>
      <c r="J45">
        <v>4.1</v>
      </c>
      <c r="K45">
        <v>2023</v>
      </c>
      <c r="L45" t="s">
        <v>24</v>
      </c>
      <c r="M45" t="s">
        <v>1087</v>
      </c>
      <c r="N45">
        <v>4</v>
      </c>
      <c r="O45">
        <v>307</v>
      </c>
    </row>
    <row r="46" spans="1:15">
      <c r="A46" t="s">
        <v>347</v>
      </c>
      <c r="B46" t="s">
        <v>63</v>
      </c>
      <c r="C46" t="s">
        <v>44</v>
      </c>
      <c r="D46">
        <v>31</v>
      </c>
      <c r="E46" t="s">
        <v>47</v>
      </c>
      <c r="F46">
        <v>101</v>
      </c>
      <c r="G46" t="s">
        <v>39</v>
      </c>
      <c r="H46" s="36">
        <v>45007</v>
      </c>
      <c r="I46">
        <v>130</v>
      </c>
      <c r="J46">
        <v>4.8</v>
      </c>
      <c r="K46">
        <v>2023</v>
      </c>
      <c r="L46" t="s">
        <v>24</v>
      </c>
      <c r="M46" t="s">
        <v>1086</v>
      </c>
      <c r="N46">
        <v>5</v>
      </c>
      <c r="O46">
        <v>307</v>
      </c>
    </row>
    <row r="47" spans="1:15">
      <c r="A47" t="s">
        <v>348</v>
      </c>
      <c r="B47" t="s">
        <v>68</v>
      </c>
      <c r="C47" t="s">
        <v>43</v>
      </c>
      <c r="D47">
        <v>43</v>
      </c>
      <c r="E47" t="s">
        <v>47</v>
      </c>
      <c r="F47">
        <v>154</v>
      </c>
      <c r="G47" t="s">
        <v>37</v>
      </c>
      <c r="H47" s="36">
        <v>45007</v>
      </c>
      <c r="I47">
        <v>172</v>
      </c>
      <c r="J47">
        <v>3.1</v>
      </c>
      <c r="K47">
        <v>2023</v>
      </c>
      <c r="L47" t="s">
        <v>24</v>
      </c>
      <c r="M47" t="s">
        <v>1087</v>
      </c>
      <c r="N47">
        <v>3</v>
      </c>
      <c r="O47">
        <v>307</v>
      </c>
    </row>
    <row r="48" spans="1:15">
      <c r="A48" t="s">
        <v>349</v>
      </c>
      <c r="B48" t="s">
        <v>66</v>
      </c>
      <c r="C48" t="s">
        <v>43</v>
      </c>
      <c r="D48">
        <v>30</v>
      </c>
      <c r="E48" t="s">
        <v>47</v>
      </c>
      <c r="F48">
        <v>131</v>
      </c>
      <c r="G48" t="s">
        <v>37</v>
      </c>
      <c r="H48" s="36">
        <v>45007</v>
      </c>
      <c r="I48">
        <v>58</v>
      </c>
      <c r="J48">
        <v>4.9</v>
      </c>
      <c r="K48">
        <v>2023</v>
      </c>
      <c r="L48" t="s">
        <v>24</v>
      </c>
      <c r="M48" t="s">
        <v>1087</v>
      </c>
      <c r="N48">
        <v>5</v>
      </c>
      <c r="O48">
        <v>307</v>
      </c>
    </row>
    <row r="49" spans="1:15">
      <c r="A49" t="s">
        <v>377</v>
      </c>
      <c r="B49" t="s">
        <v>67</v>
      </c>
      <c r="C49" t="s">
        <v>43</v>
      </c>
      <c r="D49">
        <v>37</v>
      </c>
      <c r="E49" t="s">
        <v>47</v>
      </c>
      <c r="F49">
        <v>63</v>
      </c>
      <c r="G49" t="s">
        <v>40</v>
      </c>
      <c r="H49" s="36">
        <v>45014</v>
      </c>
      <c r="I49">
        <v>82</v>
      </c>
      <c r="J49">
        <v>4.5</v>
      </c>
      <c r="K49">
        <v>2023</v>
      </c>
      <c r="L49" t="s">
        <v>24</v>
      </c>
      <c r="M49" t="s">
        <v>1086</v>
      </c>
      <c r="N49">
        <v>5</v>
      </c>
      <c r="O49">
        <v>307</v>
      </c>
    </row>
    <row r="50" spans="1:15">
      <c r="A50" t="s">
        <v>378</v>
      </c>
      <c r="B50" t="s">
        <v>70</v>
      </c>
      <c r="C50" t="s">
        <v>44</v>
      </c>
      <c r="D50">
        <v>37</v>
      </c>
      <c r="E50" t="s">
        <v>48</v>
      </c>
      <c r="F50">
        <v>56</v>
      </c>
      <c r="G50" t="s">
        <v>39</v>
      </c>
      <c r="H50" s="36">
        <v>45014</v>
      </c>
      <c r="I50">
        <v>88</v>
      </c>
      <c r="J50">
        <v>4.1</v>
      </c>
      <c r="K50">
        <v>2023</v>
      </c>
      <c r="L50" t="s">
        <v>24</v>
      </c>
      <c r="M50" t="s">
        <v>1088</v>
      </c>
      <c r="N50">
        <v>4</v>
      </c>
      <c r="O50">
        <v>307</v>
      </c>
    </row>
    <row r="51" spans="1:15">
      <c r="A51" t="s">
        <v>379</v>
      </c>
      <c r="B51" t="s">
        <v>65</v>
      </c>
      <c r="C51" t="s">
        <v>43</v>
      </c>
      <c r="D51">
        <v>42</v>
      </c>
      <c r="E51" t="s">
        <v>47</v>
      </c>
      <c r="F51">
        <v>95</v>
      </c>
      <c r="G51" t="s">
        <v>40</v>
      </c>
      <c r="H51" s="36">
        <v>45014</v>
      </c>
      <c r="I51">
        <v>111</v>
      </c>
      <c r="J51">
        <v>3.3</v>
      </c>
      <c r="K51">
        <v>2023</v>
      </c>
      <c r="L51" t="s">
        <v>24</v>
      </c>
      <c r="M51" t="s">
        <v>1086</v>
      </c>
      <c r="N51">
        <v>3</v>
      </c>
      <c r="O51">
        <v>307</v>
      </c>
    </row>
    <row r="52" spans="1:15">
      <c r="A52" t="s">
        <v>380</v>
      </c>
      <c r="B52" t="s">
        <v>69</v>
      </c>
      <c r="C52" t="s">
        <v>44</v>
      </c>
      <c r="D52">
        <v>41</v>
      </c>
      <c r="E52" t="s">
        <v>48</v>
      </c>
      <c r="F52">
        <v>128</v>
      </c>
      <c r="G52" t="s">
        <v>38</v>
      </c>
      <c r="H52" s="36">
        <v>45014</v>
      </c>
      <c r="I52">
        <v>60</v>
      </c>
      <c r="J52">
        <v>3.8</v>
      </c>
      <c r="K52">
        <v>2023</v>
      </c>
      <c r="L52" t="s">
        <v>24</v>
      </c>
      <c r="M52" t="s">
        <v>1087</v>
      </c>
      <c r="N52">
        <v>4</v>
      </c>
      <c r="O52">
        <v>307</v>
      </c>
    </row>
    <row r="53" spans="1:15">
      <c r="A53" t="s">
        <v>381</v>
      </c>
      <c r="B53" t="s">
        <v>61</v>
      </c>
      <c r="C53" t="s">
        <v>43</v>
      </c>
      <c r="D53">
        <v>30</v>
      </c>
      <c r="E53" t="s">
        <v>45</v>
      </c>
      <c r="F53">
        <v>49</v>
      </c>
      <c r="G53" t="s">
        <v>40</v>
      </c>
      <c r="H53" s="36">
        <v>45014</v>
      </c>
      <c r="I53">
        <v>80</v>
      </c>
      <c r="J53">
        <v>3</v>
      </c>
      <c r="K53">
        <v>2023</v>
      </c>
      <c r="L53" t="s">
        <v>24</v>
      </c>
      <c r="M53" t="s">
        <v>1088</v>
      </c>
      <c r="N53">
        <v>3</v>
      </c>
      <c r="O53">
        <v>307</v>
      </c>
    </row>
    <row r="54" spans="1:15">
      <c r="A54" t="s">
        <v>397</v>
      </c>
      <c r="B54" t="s">
        <v>64</v>
      </c>
      <c r="C54" t="s">
        <v>43</v>
      </c>
      <c r="D54">
        <v>22</v>
      </c>
      <c r="E54" t="s">
        <v>47</v>
      </c>
      <c r="F54">
        <v>38</v>
      </c>
      <c r="G54" t="s">
        <v>37</v>
      </c>
      <c r="H54" s="36">
        <v>45021</v>
      </c>
      <c r="I54">
        <v>81</v>
      </c>
      <c r="J54">
        <v>3.6</v>
      </c>
      <c r="K54">
        <v>2023</v>
      </c>
      <c r="L54" t="s">
        <v>24</v>
      </c>
      <c r="M54" t="s">
        <v>1088</v>
      </c>
      <c r="N54">
        <v>4</v>
      </c>
      <c r="O54">
        <v>307</v>
      </c>
    </row>
    <row r="55" spans="1:15">
      <c r="A55" t="s">
        <v>398</v>
      </c>
      <c r="B55" t="s">
        <v>68</v>
      </c>
      <c r="C55" t="s">
        <v>43</v>
      </c>
      <c r="D55">
        <v>43</v>
      </c>
      <c r="E55" t="s">
        <v>47</v>
      </c>
      <c r="F55">
        <v>130</v>
      </c>
      <c r="G55" t="s">
        <v>38</v>
      </c>
      <c r="H55" s="36">
        <v>45021</v>
      </c>
      <c r="I55">
        <v>54</v>
      </c>
      <c r="J55">
        <v>4.1</v>
      </c>
      <c r="K55">
        <v>2023</v>
      </c>
      <c r="L55" t="s">
        <v>24</v>
      </c>
      <c r="M55" t="s">
        <v>1087</v>
      </c>
      <c r="N55">
        <v>4</v>
      </c>
      <c r="O55">
        <v>307</v>
      </c>
    </row>
    <row r="56" spans="1:15">
      <c r="A56" t="s">
        <v>399</v>
      </c>
      <c r="B56" t="s">
        <v>67</v>
      </c>
      <c r="C56" t="s">
        <v>43</v>
      </c>
      <c r="D56">
        <v>37</v>
      </c>
      <c r="E56" t="s">
        <v>47</v>
      </c>
      <c r="F56">
        <v>23</v>
      </c>
      <c r="G56" t="s">
        <v>36</v>
      </c>
      <c r="H56" s="36">
        <v>45021</v>
      </c>
      <c r="I56">
        <v>105</v>
      </c>
      <c r="J56">
        <v>4.8</v>
      </c>
      <c r="K56">
        <v>2023</v>
      </c>
      <c r="L56" t="s">
        <v>24</v>
      </c>
      <c r="M56" t="s">
        <v>1089</v>
      </c>
      <c r="N56">
        <v>5</v>
      </c>
      <c r="O56">
        <v>307</v>
      </c>
    </row>
    <row r="57" spans="1:15">
      <c r="A57" t="s">
        <v>431</v>
      </c>
      <c r="B57" t="s">
        <v>62</v>
      </c>
      <c r="C57" t="s">
        <v>43</v>
      </c>
      <c r="D57">
        <v>28</v>
      </c>
      <c r="E57" t="s">
        <v>45</v>
      </c>
      <c r="F57">
        <v>53</v>
      </c>
      <c r="G57" t="s">
        <v>38</v>
      </c>
      <c r="H57" s="36">
        <v>45028</v>
      </c>
      <c r="I57">
        <v>23</v>
      </c>
      <c r="J57">
        <v>4.9</v>
      </c>
      <c r="K57">
        <v>2023</v>
      </c>
      <c r="L57" t="s">
        <v>24</v>
      </c>
      <c r="M57" t="s">
        <v>1088</v>
      </c>
      <c r="N57">
        <v>5</v>
      </c>
      <c r="O57">
        <v>307</v>
      </c>
    </row>
    <row r="58" spans="1:15">
      <c r="A58" t="s">
        <v>432</v>
      </c>
      <c r="B58" t="s">
        <v>62</v>
      </c>
      <c r="C58" t="s">
        <v>43</v>
      </c>
      <c r="D58">
        <v>28</v>
      </c>
      <c r="E58" t="s">
        <v>45</v>
      </c>
      <c r="F58">
        <v>89</v>
      </c>
      <c r="G58" t="s">
        <v>40</v>
      </c>
      <c r="H58" s="36">
        <v>45028</v>
      </c>
      <c r="I58">
        <v>200</v>
      </c>
      <c r="J58">
        <v>4.8</v>
      </c>
      <c r="K58">
        <v>2023</v>
      </c>
      <c r="L58" t="s">
        <v>24</v>
      </c>
      <c r="M58" t="s">
        <v>1086</v>
      </c>
      <c r="N58">
        <v>5</v>
      </c>
      <c r="O58">
        <v>307</v>
      </c>
    </row>
    <row r="59" spans="1:15">
      <c r="A59" t="s">
        <v>462</v>
      </c>
      <c r="B59" t="s">
        <v>72</v>
      </c>
      <c r="C59" t="s">
        <v>43</v>
      </c>
      <c r="D59">
        <v>25</v>
      </c>
      <c r="E59" t="s">
        <v>48</v>
      </c>
      <c r="F59">
        <v>69</v>
      </c>
      <c r="G59" t="s">
        <v>36</v>
      </c>
      <c r="H59" s="36">
        <v>45035</v>
      </c>
      <c r="I59">
        <v>32</v>
      </c>
      <c r="J59">
        <v>3.6</v>
      </c>
      <c r="K59">
        <v>2023</v>
      </c>
      <c r="L59" t="s">
        <v>24</v>
      </c>
      <c r="M59" t="s">
        <v>1086</v>
      </c>
      <c r="N59">
        <v>4</v>
      </c>
      <c r="O59">
        <v>307</v>
      </c>
    </row>
    <row r="60" spans="1:15">
      <c r="A60" t="s">
        <v>463</v>
      </c>
      <c r="B60" t="s">
        <v>69</v>
      </c>
      <c r="C60" t="s">
        <v>44</v>
      </c>
      <c r="D60">
        <v>41</v>
      </c>
      <c r="E60" t="s">
        <v>48</v>
      </c>
      <c r="F60">
        <v>107</v>
      </c>
      <c r="G60" t="s">
        <v>36</v>
      </c>
      <c r="H60" s="36">
        <v>45035</v>
      </c>
      <c r="I60">
        <v>156</v>
      </c>
      <c r="J60">
        <v>3.8</v>
      </c>
      <c r="K60">
        <v>2023</v>
      </c>
      <c r="L60" t="s">
        <v>24</v>
      </c>
      <c r="M60" t="s">
        <v>1086</v>
      </c>
      <c r="N60">
        <v>4</v>
      </c>
      <c r="O60">
        <v>307</v>
      </c>
    </row>
    <row r="61" spans="1:15">
      <c r="A61" t="s">
        <v>464</v>
      </c>
      <c r="B61" t="s">
        <v>60</v>
      </c>
      <c r="C61" t="s">
        <v>44</v>
      </c>
      <c r="D61">
        <v>36</v>
      </c>
      <c r="E61" t="s">
        <v>45</v>
      </c>
      <c r="F61">
        <v>90</v>
      </c>
      <c r="G61" t="s">
        <v>37</v>
      </c>
      <c r="H61" s="36">
        <v>45035</v>
      </c>
      <c r="I61">
        <v>99</v>
      </c>
      <c r="J61">
        <v>4.9</v>
      </c>
      <c r="K61">
        <v>2023</v>
      </c>
      <c r="L61" t="s">
        <v>24</v>
      </c>
      <c r="M61" t="s">
        <v>1086</v>
      </c>
      <c r="N61">
        <v>5</v>
      </c>
      <c r="O61">
        <v>307</v>
      </c>
    </row>
    <row r="62" spans="1:15">
      <c r="A62" t="s">
        <v>465</v>
      </c>
      <c r="B62" t="s">
        <v>59</v>
      </c>
      <c r="C62" t="s">
        <v>44</v>
      </c>
      <c r="D62">
        <v>26</v>
      </c>
      <c r="E62" t="s">
        <v>45</v>
      </c>
      <c r="F62">
        <v>120</v>
      </c>
      <c r="G62" t="s">
        <v>38</v>
      </c>
      <c r="H62" s="36">
        <v>45035</v>
      </c>
      <c r="I62">
        <v>26</v>
      </c>
      <c r="J62">
        <v>4</v>
      </c>
      <c r="K62">
        <v>2023</v>
      </c>
      <c r="L62" t="s">
        <v>24</v>
      </c>
      <c r="M62" t="s">
        <v>1086</v>
      </c>
      <c r="N62">
        <v>4</v>
      </c>
      <c r="O62">
        <v>307</v>
      </c>
    </row>
    <row r="63" spans="1:15">
      <c r="A63" t="s">
        <v>466</v>
      </c>
      <c r="B63" t="s">
        <v>61</v>
      </c>
      <c r="C63" t="s">
        <v>43</v>
      </c>
      <c r="D63">
        <v>30</v>
      </c>
      <c r="E63" t="s">
        <v>45</v>
      </c>
      <c r="F63">
        <v>47</v>
      </c>
      <c r="G63" t="s">
        <v>36</v>
      </c>
      <c r="H63" s="36">
        <v>45035</v>
      </c>
      <c r="I63">
        <v>84</v>
      </c>
      <c r="J63">
        <v>4.1</v>
      </c>
      <c r="K63">
        <v>2023</v>
      </c>
      <c r="L63" t="s">
        <v>24</v>
      </c>
      <c r="M63" t="s">
        <v>1088</v>
      </c>
      <c r="N63">
        <v>4</v>
      </c>
      <c r="O63">
        <v>307</v>
      </c>
    </row>
    <row r="64" spans="1:15">
      <c r="A64" t="s">
        <v>467</v>
      </c>
      <c r="B64" t="s">
        <v>73</v>
      </c>
      <c r="C64" t="s">
        <v>43</v>
      </c>
      <c r="D64">
        <v>38</v>
      </c>
      <c r="E64" t="s">
        <v>48</v>
      </c>
      <c r="F64">
        <v>60</v>
      </c>
      <c r="G64" t="s">
        <v>38</v>
      </c>
      <c r="H64" s="36">
        <v>45035</v>
      </c>
      <c r="I64">
        <v>84</v>
      </c>
      <c r="J64">
        <v>4.8</v>
      </c>
      <c r="K64">
        <v>2023</v>
      </c>
      <c r="L64" t="s">
        <v>24</v>
      </c>
      <c r="M64" t="s">
        <v>1088</v>
      </c>
      <c r="N64">
        <v>5</v>
      </c>
      <c r="O64">
        <v>307</v>
      </c>
    </row>
    <row r="65" spans="1:15">
      <c r="A65" t="s">
        <v>468</v>
      </c>
      <c r="B65" t="s">
        <v>71</v>
      </c>
      <c r="C65" t="s">
        <v>44</v>
      </c>
      <c r="D65">
        <v>23</v>
      </c>
      <c r="E65" t="s">
        <v>48</v>
      </c>
      <c r="F65">
        <v>64</v>
      </c>
      <c r="G65" t="s">
        <v>37</v>
      </c>
      <c r="H65" s="36">
        <v>45035</v>
      </c>
      <c r="I65">
        <v>170</v>
      </c>
      <c r="J65">
        <v>2.3</v>
      </c>
      <c r="K65">
        <v>2023</v>
      </c>
      <c r="L65" t="s">
        <v>24</v>
      </c>
      <c r="M65" t="s">
        <v>1086</v>
      </c>
      <c r="N65">
        <v>2</v>
      </c>
      <c r="O65">
        <v>307</v>
      </c>
    </row>
    <row r="66" spans="1:15">
      <c r="A66" t="s">
        <v>469</v>
      </c>
      <c r="B66" t="s">
        <v>65</v>
      </c>
      <c r="C66" t="s">
        <v>43</v>
      </c>
      <c r="D66">
        <v>42</v>
      </c>
      <c r="E66" t="s">
        <v>47</v>
      </c>
      <c r="F66">
        <v>62</v>
      </c>
      <c r="G66" t="s">
        <v>36</v>
      </c>
      <c r="H66" s="36">
        <v>45035</v>
      </c>
      <c r="I66">
        <v>35</v>
      </c>
      <c r="J66">
        <v>4.4</v>
      </c>
      <c r="K66">
        <v>2023</v>
      </c>
      <c r="L66" t="s">
        <v>24</v>
      </c>
      <c r="M66" t="s">
        <v>1086</v>
      </c>
      <c r="N66">
        <v>4</v>
      </c>
      <c r="O66">
        <v>307</v>
      </c>
    </row>
    <row r="67" spans="1:15">
      <c r="A67" t="s">
        <v>503</v>
      </c>
      <c r="B67" t="s">
        <v>64</v>
      </c>
      <c r="C67" t="s">
        <v>43</v>
      </c>
      <c r="D67">
        <v>22</v>
      </c>
      <c r="E67" t="s">
        <v>47</v>
      </c>
      <c r="F67">
        <v>126</v>
      </c>
      <c r="G67" t="s">
        <v>36</v>
      </c>
      <c r="H67" s="36">
        <v>45042</v>
      </c>
      <c r="I67">
        <v>175</v>
      </c>
      <c r="J67">
        <v>4.8</v>
      </c>
      <c r="K67">
        <v>2023</v>
      </c>
      <c r="L67" t="s">
        <v>24</v>
      </c>
      <c r="M67" t="s">
        <v>1087</v>
      </c>
      <c r="N67">
        <v>5</v>
      </c>
      <c r="O67">
        <v>307</v>
      </c>
    </row>
    <row r="68" spans="1:15">
      <c r="A68" t="s">
        <v>504</v>
      </c>
      <c r="B68" t="s">
        <v>62</v>
      </c>
      <c r="C68" t="s">
        <v>43</v>
      </c>
      <c r="D68">
        <v>28</v>
      </c>
      <c r="E68" t="s">
        <v>45</v>
      </c>
      <c r="F68">
        <v>26</v>
      </c>
      <c r="G68" t="s">
        <v>40</v>
      </c>
      <c r="H68" s="36">
        <v>45042</v>
      </c>
      <c r="I68">
        <v>87</v>
      </c>
      <c r="J68">
        <v>4.7</v>
      </c>
      <c r="K68">
        <v>2023</v>
      </c>
      <c r="L68" t="s">
        <v>24</v>
      </c>
      <c r="M68" t="s">
        <v>1089</v>
      </c>
      <c r="N68">
        <v>5</v>
      </c>
      <c r="O68">
        <v>307</v>
      </c>
    </row>
    <row r="69" spans="1:15">
      <c r="A69" t="s">
        <v>505</v>
      </c>
      <c r="B69" t="s">
        <v>63</v>
      </c>
      <c r="C69" t="s">
        <v>44</v>
      </c>
      <c r="D69">
        <v>31</v>
      </c>
      <c r="E69" t="s">
        <v>47</v>
      </c>
      <c r="F69">
        <v>105</v>
      </c>
      <c r="G69" t="s">
        <v>36</v>
      </c>
      <c r="H69" s="36">
        <v>45042</v>
      </c>
      <c r="I69">
        <v>66</v>
      </c>
      <c r="J69">
        <v>4.2</v>
      </c>
      <c r="K69">
        <v>2023</v>
      </c>
      <c r="L69" t="s">
        <v>24</v>
      </c>
      <c r="M69" t="s">
        <v>1086</v>
      </c>
      <c r="N69">
        <v>4</v>
      </c>
      <c r="O69">
        <v>307</v>
      </c>
    </row>
    <row r="70" spans="1:15">
      <c r="A70" t="s">
        <v>506</v>
      </c>
      <c r="B70" t="s">
        <v>63</v>
      </c>
      <c r="C70" t="s">
        <v>44</v>
      </c>
      <c r="D70">
        <v>31</v>
      </c>
      <c r="E70" t="s">
        <v>47</v>
      </c>
      <c r="F70">
        <v>31</v>
      </c>
      <c r="G70" t="s">
        <v>36</v>
      </c>
      <c r="H70" s="36">
        <v>45042</v>
      </c>
      <c r="I70">
        <v>25</v>
      </c>
      <c r="J70">
        <v>3.2</v>
      </c>
      <c r="K70">
        <v>2023</v>
      </c>
      <c r="L70" t="s">
        <v>24</v>
      </c>
      <c r="M70" t="s">
        <v>1088</v>
      </c>
      <c r="N70">
        <v>3</v>
      </c>
      <c r="O70">
        <v>307</v>
      </c>
    </row>
    <row r="71" spans="1:15">
      <c r="A71" t="s">
        <v>507</v>
      </c>
      <c r="B71" t="s">
        <v>70</v>
      </c>
      <c r="C71" t="s">
        <v>44</v>
      </c>
      <c r="D71">
        <v>37</v>
      </c>
      <c r="E71" t="s">
        <v>48</v>
      </c>
      <c r="F71">
        <v>109</v>
      </c>
      <c r="G71" t="s">
        <v>37</v>
      </c>
      <c r="H71" s="36">
        <v>45042</v>
      </c>
      <c r="I71">
        <v>126</v>
      </c>
      <c r="J71">
        <v>3.4</v>
      </c>
      <c r="K71">
        <v>2023</v>
      </c>
      <c r="L71" t="s">
        <v>24</v>
      </c>
      <c r="M71" t="s">
        <v>1086</v>
      </c>
      <c r="N71">
        <v>3</v>
      </c>
      <c r="O71">
        <v>307</v>
      </c>
    </row>
    <row r="72" spans="1:15">
      <c r="A72" t="s">
        <v>528</v>
      </c>
      <c r="B72" t="s">
        <v>70</v>
      </c>
      <c r="C72" t="s">
        <v>44</v>
      </c>
      <c r="D72">
        <v>37</v>
      </c>
      <c r="E72" t="s">
        <v>48</v>
      </c>
      <c r="F72">
        <v>35</v>
      </c>
      <c r="G72" t="s">
        <v>39</v>
      </c>
      <c r="H72" s="36">
        <v>45049</v>
      </c>
      <c r="I72">
        <v>215</v>
      </c>
      <c r="J72">
        <v>4.3</v>
      </c>
      <c r="K72">
        <v>2023</v>
      </c>
      <c r="L72" t="s">
        <v>24</v>
      </c>
      <c r="M72" t="s">
        <v>1088</v>
      </c>
      <c r="N72">
        <v>4</v>
      </c>
      <c r="O72">
        <v>307</v>
      </c>
    </row>
    <row r="73" spans="1:15">
      <c r="A73" t="s">
        <v>529</v>
      </c>
      <c r="B73" t="s">
        <v>59</v>
      </c>
      <c r="C73" t="s">
        <v>44</v>
      </c>
      <c r="D73">
        <v>26</v>
      </c>
      <c r="E73" t="s">
        <v>45</v>
      </c>
      <c r="F73">
        <v>96</v>
      </c>
      <c r="G73" t="s">
        <v>37</v>
      </c>
      <c r="H73" s="36">
        <v>45049</v>
      </c>
      <c r="I73">
        <v>46</v>
      </c>
      <c r="J73">
        <v>0.7</v>
      </c>
      <c r="K73">
        <v>2023</v>
      </c>
      <c r="L73" t="s">
        <v>24</v>
      </c>
      <c r="M73" t="s">
        <v>1086</v>
      </c>
      <c r="N73">
        <v>1</v>
      </c>
      <c r="O73">
        <v>307</v>
      </c>
    </row>
    <row r="74" spans="1:15">
      <c r="A74" t="s">
        <v>530</v>
      </c>
      <c r="B74" t="s">
        <v>72</v>
      </c>
      <c r="C74" t="s">
        <v>43</v>
      </c>
      <c r="D74">
        <v>25</v>
      </c>
      <c r="E74" t="s">
        <v>48</v>
      </c>
      <c r="F74">
        <v>61</v>
      </c>
      <c r="G74" t="s">
        <v>38</v>
      </c>
      <c r="H74" s="36">
        <v>45049</v>
      </c>
      <c r="I74">
        <v>115</v>
      </c>
      <c r="J74">
        <v>3.7</v>
      </c>
      <c r="K74">
        <v>2023</v>
      </c>
      <c r="L74" t="s">
        <v>24</v>
      </c>
      <c r="M74" t="s">
        <v>1086</v>
      </c>
      <c r="N74">
        <v>4</v>
      </c>
      <c r="O74">
        <v>307</v>
      </c>
    </row>
    <row r="75" spans="1:15">
      <c r="A75" t="s">
        <v>531</v>
      </c>
      <c r="B75" t="s">
        <v>59</v>
      </c>
      <c r="C75" t="s">
        <v>44</v>
      </c>
      <c r="D75">
        <v>26</v>
      </c>
      <c r="E75" t="s">
        <v>45</v>
      </c>
      <c r="F75">
        <v>91</v>
      </c>
      <c r="G75" t="s">
        <v>38</v>
      </c>
      <c r="H75" s="36">
        <v>45049</v>
      </c>
      <c r="I75">
        <v>124</v>
      </c>
      <c r="J75">
        <v>3.9</v>
      </c>
      <c r="K75">
        <v>2023</v>
      </c>
      <c r="L75" t="s">
        <v>24</v>
      </c>
      <c r="M75" t="s">
        <v>1086</v>
      </c>
      <c r="N75">
        <v>4</v>
      </c>
      <c r="O75">
        <v>307</v>
      </c>
    </row>
    <row r="76" spans="1:15">
      <c r="A76" t="s">
        <v>546</v>
      </c>
      <c r="B76" t="s">
        <v>65</v>
      </c>
      <c r="C76" t="s">
        <v>43</v>
      </c>
      <c r="D76">
        <v>42</v>
      </c>
      <c r="E76" t="s">
        <v>47</v>
      </c>
      <c r="F76">
        <v>89</v>
      </c>
      <c r="G76" t="s">
        <v>39</v>
      </c>
      <c r="H76" s="36">
        <v>45056</v>
      </c>
      <c r="I76">
        <v>176</v>
      </c>
      <c r="J76">
        <v>4.5</v>
      </c>
      <c r="K76">
        <v>2023</v>
      </c>
      <c r="L76" t="s">
        <v>24</v>
      </c>
      <c r="M76" t="s">
        <v>1086</v>
      </c>
      <c r="N76">
        <v>5</v>
      </c>
      <c r="O76">
        <v>307</v>
      </c>
    </row>
    <row r="77" spans="1:15">
      <c r="A77" t="s">
        <v>558</v>
      </c>
      <c r="B77" t="s">
        <v>70</v>
      </c>
      <c r="C77" t="s">
        <v>44</v>
      </c>
      <c r="D77">
        <v>37</v>
      </c>
      <c r="E77" t="s">
        <v>48</v>
      </c>
      <c r="F77">
        <v>80</v>
      </c>
      <c r="G77" t="s">
        <v>39</v>
      </c>
      <c r="H77" s="36">
        <v>45063</v>
      </c>
      <c r="I77">
        <v>145</v>
      </c>
      <c r="J77">
        <v>4.9</v>
      </c>
      <c r="K77">
        <v>2023</v>
      </c>
      <c r="L77" t="s">
        <v>24</v>
      </c>
      <c r="M77" t="s">
        <v>1086</v>
      </c>
      <c r="N77">
        <v>5</v>
      </c>
      <c r="O77">
        <v>307</v>
      </c>
    </row>
    <row r="78" spans="1:15">
      <c r="A78" t="s">
        <v>559</v>
      </c>
      <c r="B78" t="s">
        <v>65</v>
      </c>
      <c r="C78" t="s">
        <v>43</v>
      </c>
      <c r="D78">
        <v>42</v>
      </c>
      <c r="E78" t="s">
        <v>47</v>
      </c>
      <c r="F78">
        <v>139</v>
      </c>
      <c r="G78" t="s">
        <v>36</v>
      </c>
      <c r="H78" s="36">
        <v>45063</v>
      </c>
      <c r="I78">
        <v>220</v>
      </c>
      <c r="J78">
        <v>3.2</v>
      </c>
      <c r="K78">
        <v>2023</v>
      </c>
      <c r="L78" t="s">
        <v>24</v>
      </c>
      <c r="M78" t="s">
        <v>1087</v>
      </c>
      <c r="N78">
        <v>3</v>
      </c>
      <c r="O78">
        <v>307</v>
      </c>
    </row>
    <row r="79" spans="1:15">
      <c r="A79" t="s">
        <v>560</v>
      </c>
      <c r="B79" t="s">
        <v>63</v>
      </c>
      <c r="C79" t="s">
        <v>44</v>
      </c>
      <c r="D79">
        <v>31</v>
      </c>
      <c r="E79" t="s">
        <v>47</v>
      </c>
      <c r="F79">
        <v>50</v>
      </c>
      <c r="G79" t="s">
        <v>37</v>
      </c>
      <c r="H79" s="36">
        <v>45063</v>
      </c>
      <c r="I79">
        <v>26</v>
      </c>
      <c r="J79">
        <v>4.7</v>
      </c>
      <c r="K79">
        <v>2023</v>
      </c>
      <c r="L79" t="s">
        <v>24</v>
      </c>
      <c r="M79" t="s">
        <v>1088</v>
      </c>
      <c r="N79">
        <v>5</v>
      </c>
      <c r="O79">
        <v>307</v>
      </c>
    </row>
    <row r="80" spans="1:15">
      <c r="A80" t="s">
        <v>561</v>
      </c>
      <c r="B80" t="s">
        <v>70</v>
      </c>
      <c r="C80" t="s">
        <v>44</v>
      </c>
      <c r="D80">
        <v>37</v>
      </c>
      <c r="E80" t="s">
        <v>48</v>
      </c>
      <c r="F80">
        <v>88</v>
      </c>
      <c r="G80" t="s">
        <v>39</v>
      </c>
      <c r="H80" s="36">
        <v>45063</v>
      </c>
      <c r="I80">
        <v>78</v>
      </c>
      <c r="J80">
        <v>4.3</v>
      </c>
      <c r="K80">
        <v>2023</v>
      </c>
      <c r="L80" t="s">
        <v>24</v>
      </c>
      <c r="M80" t="s">
        <v>1086</v>
      </c>
      <c r="N80">
        <v>4</v>
      </c>
      <c r="O80">
        <v>307</v>
      </c>
    </row>
    <row r="81" spans="1:15">
      <c r="A81" t="s">
        <v>575</v>
      </c>
      <c r="B81" t="s">
        <v>66</v>
      </c>
      <c r="C81" t="s">
        <v>43</v>
      </c>
      <c r="D81">
        <v>30</v>
      </c>
      <c r="E81" t="s">
        <v>47</v>
      </c>
      <c r="F81">
        <v>59</v>
      </c>
      <c r="G81" t="s">
        <v>40</v>
      </c>
      <c r="H81" s="36">
        <v>45070</v>
      </c>
      <c r="I81">
        <v>123</v>
      </c>
      <c r="J81">
        <v>3.6</v>
      </c>
      <c r="K81">
        <v>2023</v>
      </c>
      <c r="L81" t="s">
        <v>24</v>
      </c>
      <c r="M81" t="s">
        <v>1088</v>
      </c>
      <c r="N81">
        <v>4</v>
      </c>
      <c r="O81">
        <v>307</v>
      </c>
    </row>
    <row r="82" spans="1:15">
      <c r="A82" t="s">
        <v>576</v>
      </c>
      <c r="B82" t="s">
        <v>71</v>
      </c>
      <c r="C82" t="s">
        <v>44</v>
      </c>
      <c r="D82">
        <v>23</v>
      </c>
      <c r="E82" t="s">
        <v>48</v>
      </c>
      <c r="F82">
        <v>133</v>
      </c>
      <c r="G82" t="s">
        <v>38</v>
      </c>
      <c r="H82" s="36">
        <v>45070</v>
      </c>
      <c r="I82">
        <v>31</v>
      </c>
      <c r="J82">
        <v>3.7</v>
      </c>
      <c r="K82">
        <v>2023</v>
      </c>
      <c r="L82" t="s">
        <v>24</v>
      </c>
      <c r="M82" t="s">
        <v>1087</v>
      </c>
      <c r="N82">
        <v>4</v>
      </c>
      <c r="O82">
        <v>307</v>
      </c>
    </row>
    <row r="83" spans="1:15">
      <c r="A83" t="s">
        <v>577</v>
      </c>
      <c r="B83" t="s">
        <v>69</v>
      </c>
      <c r="C83" t="s">
        <v>44</v>
      </c>
      <c r="D83">
        <v>41</v>
      </c>
      <c r="E83" t="s">
        <v>48</v>
      </c>
      <c r="F83">
        <v>101</v>
      </c>
      <c r="G83" t="s">
        <v>37</v>
      </c>
      <c r="H83" s="36">
        <v>45070</v>
      </c>
      <c r="I83">
        <v>205</v>
      </c>
      <c r="J83">
        <v>3.9</v>
      </c>
      <c r="K83">
        <v>2023</v>
      </c>
      <c r="L83" t="s">
        <v>24</v>
      </c>
      <c r="M83" t="s">
        <v>1086</v>
      </c>
      <c r="N83">
        <v>4</v>
      </c>
      <c r="O83">
        <v>307</v>
      </c>
    </row>
    <row r="84" spans="1:15">
      <c r="A84" t="s">
        <v>601</v>
      </c>
      <c r="B84" t="s">
        <v>66</v>
      </c>
      <c r="C84" t="s">
        <v>43</v>
      </c>
      <c r="D84">
        <v>30</v>
      </c>
      <c r="E84" t="s">
        <v>47</v>
      </c>
      <c r="F84">
        <v>106</v>
      </c>
      <c r="G84" t="s">
        <v>38</v>
      </c>
      <c r="H84" s="36">
        <v>45077</v>
      </c>
      <c r="I84">
        <v>120</v>
      </c>
      <c r="J84">
        <v>4.1</v>
      </c>
      <c r="K84">
        <v>2023</v>
      </c>
      <c r="L84" t="s">
        <v>24</v>
      </c>
      <c r="M84" t="s">
        <v>1086</v>
      </c>
      <c r="N84">
        <v>4</v>
      </c>
      <c r="O84">
        <v>307</v>
      </c>
    </row>
    <row r="85" spans="1:15">
      <c r="A85" t="s">
        <v>602</v>
      </c>
      <c r="B85" t="s">
        <v>73</v>
      </c>
      <c r="C85" t="s">
        <v>43</v>
      </c>
      <c r="D85">
        <v>38</v>
      </c>
      <c r="E85" t="s">
        <v>48</v>
      </c>
      <c r="F85">
        <v>94</v>
      </c>
      <c r="G85" t="s">
        <v>37</v>
      </c>
      <c r="H85" s="36">
        <v>45077</v>
      </c>
      <c r="I85">
        <v>100</v>
      </c>
      <c r="J85">
        <v>3.7</v>
      </c>
      <c r="K85">
        <v>2023</v>
      </c>
      <c r="L85" t="s">
        <v>24</v>
      </c>
      <c r="M85" t="s">
        <v>1086</v>
      </c>
      <c r="N85">
        <v>4</v>
      </c>
      <c r="O85">
        <v>307</v>
      </c>
    </row>
    <row r="86" spans="1:15">
      <c r="A86" t="s">
        <v>614</v>
      </c>
      <c r="B86" t="s">
        <v>69</v>
      </c>
      <c r="C86" t="s">
        <v>44</v>
      </c>
      <c r="D86">
        <v>41</v>
      </c>
      <c r="E86" t="s">
        <v>48</v>
      </c>
      <c r="F86">
        <v>119</v>
      </c>
      <c r="G86" t="s">
        <v>38</v>
      </c>
      <c r="H86" s="36">
        <v>45084</v>
      </c>
      <c r="I86">
        <v>116</v>
      </c>
      <c r="J86">
        <v>3.8</v>
      </c>
      <c r="K86">
        <v>2023</v>
      </c>
      <c r="L86" t="s">
        <v>24</v>
      </c>
      <c r="M86" t="s">
        <v>1086</v>
      </c>
      <c r="N86">
        <v>4</v>
      </c>
      <c r="O86">
        <v>307</v>
      </c>
    </row>
    <row r="87" spans="1:15">
      <c r="A87" t="s">
        <v>627</v>
      </c>
      <c r="B87" t="s">
        <v>68</v>
      </c>
      <c r="C87" t="s">
        <v>43</v>
      </c>
      <c r="D87">
        <v>43</v>
      </c>
      <c r="E87" t="s">
        <v>47</v>
      </c>
      <c r="F87">
        <v>158</v>
      </c>
      <c r="G87" t="s">
        <v>36</v>
      </c>
      <c r="H87" s="36">
        <v>45091</v>
      </c>
      <c r="I87">
        <v>190</v>
      </c>
      <c r="J87">
        <v>4</v>
      </c>
      <c r="K87">
        <v>2023</v>
      </c>
      <c r="L87" t="s">
        <v>24</v>
      </c>
      <c r="M87" t="s">
        <v>1087</v>
      </c>
      <c r="N87">
        <v>4</v>
      </c>
      <c r="O87">
        <v>307</v>
      </c>
    </row>
    <row r="88" spans="1:15">
      <c r="A88" t="s">
        <v>628</v>
      </c>
      <c r="B88" t="s">
        <v>66</v>
      </c>
      <c r="C88" t="s">
        <v>43</v>
      </c>
      <c r="D88">
        <v>30</v>
      </c>
      <c r="E88" t="s">
        <v>47</v>
      </c>
      <c r="F88">
        <v>159</v>
      </c>
      <c r="G88" t="s">
        <v>37</v>
      </c>
      <c r="H88" s="36">
        <v>45091</v>
      </c>
      <c r="I88">
        <v>66</v>
      </c>
      <c r="J88">
        <v>3.4</v>
      </c>
      <c r="K88">
        <v>2023</v>
      </c>
      <c r="L88" t="s">
        <v>24</v>
      </c>
      <c r="M88" t="s">
        <v>1087</v>
      </c>
      <c r="N88">
        <v>3</v>
      </c>
      <c r="O88">
        <v>307</v>
      </c>
    </row>
    <row r="89" spans="1:15">
      <c r="A89" t="s">
        <v>642</v>
      </c>
      <c r="B89" t="s">
        <v>70</v>
      </c>
      <c r="C89" t="s">
        <v>44</v>
      </c>
      <c r="D89">
        <v>37</v>
      </c>
      <c r="E89" t="s">
        <v>48</v>
      </c>
      <c r="F89">
        <v>130</v>
      </c>
      <c r="G89" t="s">
        <v>37</v>
      </c>
      <c r="H89" s="36">
        <v>45098</v>
      </c>
      <c r="I89">
        <v>87</v>
      </c>
      <c r="J89">
        <v>3.4</v>
      </c>
      <c r="K89">
        <v>2023</v>
      </c>
      <c r="L89" t="s">
        <v>24</v>
      </c>
      <c r="M89" t="s">
        <v>1087</v>
      </c>
      <c r="N89">
        <v>3</v>
      </c>
      <c r="O89">
        <v>307</v>
      </c>
    </row>
    <row r="90" spans="1:15">
      <c r="A90" t="s">
        <v>643</v>
      </c>
      <c r="B90" t="s">
        <v>70</v>
      </c>
      <c r="C90" t="s">
        <v>44</v>
      </c>
      <c r="D90">
        <v>37</v>
      </c>
      <c r="E90" t="s">
        <v>48</v>
      </c>
      <c r="F90">
        <v>73</v>
      </c>
      <c r="G90" t="s">
        <v>37</v>
      </c>
      <c r="H90" s="36">
        <v>45098</v>
      </c>
      <c r="I90">
        <v>75</v>
      </c>
      <c r="J90">
        <v>2.7</v>
      </c>
      <c r="K90">
        <v>2023</v>
      </c>
      <c r="L90" t="s">
        <v>24</v>
      </c>
      <c r="M90" t="s">
        <v>1086</v>
      </c>
      <c r="N90">
        <v>3</v>
      </c>
      <c r="O90">
        <v>307</v>
      </c>
    </row>
    <row r="91" spans="1:15">
      <c r="A91" t="s">
        <v>644</v>
      </c>
      <c r="B91" t="s">
        <v>64</v>
      </c>
      <c r="C91" t="s">
        <v>43</v>
      </c>
      <c r="D91">
        <v>22</v>
      </c>
      <c r="E91" t="s">
        <v>47</v>
      </c>
      <c r="F91">
        <v>80</v>
      </c>
      <c r="G91" t="s">
        <v>38</v>
      </c>
      <c r="H91" s="36">
        <v>45098</v>
      </c>
      <c r="I91">
        <v>32</v>
      </c>
      <c r="J91">
        <v>4.7</v>
      </c>
      <c r="K91">
        <v>2023</v>
      </c>
      <c r="L91" t="s">
        <v>24</v>
      </c>
      <c r="M91" t="s">
        <v>1086</v>
      </c>
      <c r="N91">
        <v>5</v>
      </c>
      <c r="O91">
        <v>307</v>
      </c>
    </row>
    <row r="92" spans="1:15">
      <c r="A92" t="s">
        <v>645</v>
      </c>
      <c r="B92" t="s">
        <v>69</v>
      </c>
      <c r="C92" t="s">
        <v>44</v>
      </c>
      <c r="D92">
        <v>41</v>
      </c>
      <c r="E92" t="s">
        <v>48</v>
      </c>
      <c r="F92">
        <v>44</v>
      </c>
      <c r="G92" t="s">
        <v>36</v>
      </c>
      <c r="H92" s="36">
        <v>45098</v>
      </c>
      <c r="I92">
        <v>33</v>
      </c>
      <c r="J92">
        <v>3</v>
      </c>
      <c r="K92">
        <v>2023</v>
      </c>
      <c r="L92" t="s">
        <v>24</v>
      </c>
      <c r="M92" t="s">
        <v>1088</v>
      </c>
      <c r="N92">
        <v>3</v>
      </c>
      <c r="O92">
        <v>307</v>
      </c>
    </row>
    <row r="93" spans="1:15">
      <c r="A93" t="s">
        <v>646</v>
      </c>
      <c r="B93" t="s">
        <v>69</v>
      </c>
      <c r="C93" t="s">
        <v>44</v>
      </c>
      <c r="D93">
        <v>41</v>
      </c>
      <c r="E93" t="s">
        <v>48</v>
      </c>
      <c r="F93">
        <v>102</v>
      </c>
      <c r="G93" t="s">
        <v>40</v>
      </c>
      <c r="H93" s="36">
        <v>45098</v>
      </c>
      <c r="I93">
        <v>76</v>
      </c>
      <c r="J93">
        <v>4.2</v>
      </c>
      <c r="K93">
        <v>2023</v>
      </c>
      <c r="L93" t="s">
        <v>24</v>
      </c>
      <c r="M93" t="s">
        <v>1086</v>
      </c>
      <c r="N93">
        <v>4</v>
      </c>
      <c r="O93">
        <v>307</v>
      </c>
    </row>
    <row r="94" spans="1:15">
      <c r="A94" t="s">
        <v>647</v>
      </c>
      <c r="B94" t="s">
        <v>68</v>
      </c>
      <c r="C94" t="s">
        <v>43</v>
      </c>
      <c r="D94">
        <v>43</v>
      </c>
      <c r="E94" t="s">
        <v>47</v>
      </c>
      <c r="F94">
        <v>74</v>
      </c>
      <c r="G94" t="s">
        <v>40</v>
      </c>
      <c r="H94" s="36">
        <v>45098</v>
      </c>
      <c r="I94">
        <v>117</v>
      </c>
      <c r="J94">
        <v>4.8</v>
      </c>
      <c r="K94">
        <v>2023</v>
      </c>
      <c r="L94" t="s">
        <v>24</v>
      </c>
      <c r="M94" t="s">
        <v>1086</v>
      </c>
      <c r="N94">
        <v>5</v>
      </c>
      <c r="O94">
        <v>307</v>
      </c>
    </row>
    <row r="95" spans="1:15">
      <c r="A95" t="s">
        <v>665</v>
      </c>
      <c r="B95" t="s">
        <v>63</v>
      </c>
      <c r="C95" t="s">
        <v>44</v>
      </c>
      <c r="D95">
        <v>31</v>
      </c>
      <c r="E95" t="s">
        <v>47</v>
      </c>
      <c r="F95">
        <v>80</v>
      </c>
      <c r="G95" t="s">
        <v>40</v>
      </c>
      <c r="H95" s="36">
        <v>45105</v>
      </c>
      <c r="I95">
        <v>68</v>
      </c>
      <c r="J95">
        <v>3.1</v>
      </c>
      <c r="K95">
        <v>2023</v>
      </c>
      <c r="L95" t="s">
        <v>24</v>
      </c>
      <c r="M95" t="s">
        <v>1086</v>
      </c>
      <c r="N95">
        <v>3</v>
      </c>
      <c r="O95">
        <v>307</v>
      </c>
    </row>
    <row r="96" spans="1:15">
      <c r="A96" t="s">
        <v>666</v>
      </c>
      <c r="B96" t="s">
        <v>69</v>
      </c>
      <c r="C96" t="s">
        <v>44</v>
      </c>
      <c r="D96">
        <v>41</v>
      </c>
      <c r="E96" t="s">
        <v>48</v>
      </c>
      <c r="F96">
        <v>28</v>
      </c>
      <c r="G96" t="s">
        <v>40</v>
      </c>
      <c r="H96" s="36">
        <v>45105</v>
      </c>
      <c r="I96">
        <v>44</v>
      </c>
      <c r="J96">
        <v>2.9</v>
      </c>
      <c r="K96">
        <v>2023</v>
      </c>
      <c r="L96" t="s">
        <v>24</v>
      </c>
      <c r="M96" t="s">
        <v>1089</v>
      </c>
      <c r="N96">
        <v>3</v>
      </c>
      <c r="O96">
        <v>307</v>
      </c>
    </row>
    <row r="97" spans="1:15">
      <c r="A97" t="s">
        <v>679</v>
      </c>
      <c r="B97" t="s">
        <v>60</v>
      </c>
      <c r="C97" t="s">
        <v>44</v>
      </c>
      <c r="D97">
        <v>36</v>
      </c>
      <c r="E97" t="s">
        <v>45</v>
      </c>
      <c r="F97">
        <v>57</v>
      </c>
      <c r="G97" t="s">
        <v>40</v>
      </c>
      <c r="H97" s="36">
        <v>45112</v>
      </c>
      <c r="I97">
        <v>120</v>
      </c>
      <c r="J97">
        <v>3.5</v>
      </c>
      <c r="K97">
        <v>2024</v>
      </c>
      <c r="L97" t="s">
        <v>24</v>
      </c>
      <c r="M97" t="s">
        <v>1088</v>
      </c>
      <c r="N97">
        <v>4</v>
      </c>
      <c r="O97">
        <v>307</v>
      </c>
    </row>
    <row r="98" spans="1:15">
      <c r="A98" t="s">
        <v>680</v>
      </c>
      <c r="B98" t="s">
        <v>66</v>
      </c>
      <c r="C98" t="s">
        <v>43</v>
      </c>
      <c r="D98">
        <v>30</v>
      </c>
      <c r="E98" t="s">
        <v>47</v>
      </c>
      <c r="F98">
        <v>68</v>
      </c>
      <c r="G98" t="s">
        <v>39</v>
      </c>
      <c r="H98" s="36">
        <v>45112</v>
      </c>
      <c r="I98">
        <v>41</v>
      </c>
      <c r="J98">
        <v>3.1</v>
      </c>
      <c r="K98">
        <v>2024</v>
      </c>
      <c r="L98" t="s">
        <v>24</v>
      </c>
      <c r="M98" t="s">
        <v>1086</v>
      </c>
      <c r="N98">
        <v>3</v>
      </c>
      <c r="O98">
        <v>307</v>
      </c>
    </row>
    <row r="99" spans="1:15">
      <c r="A99" t="s">
        <v>681</v>
      </c>
      <c r="B99" t="s">
        <v>61</v>
      </c>
      <c r="C99" t="s">
        <v>43</v>
      </c>
      <c r="D99">
        <v>30</v>
      </c>
      <c r="E99" t="s">
        <v>45</v>
      </c>
      <c r="F99">
        <v>128</v>
      </c>
      <c r="G99" t="s">
        <v>39</v>
      </c>
      <c r="H99" s="36">
        <v>45112</v>
      </c>
      <c r="I99">
        <v>116</v>
      </c>
      <c r="J99">
        <v>2.3</v>
      </c>
      <c r="K99">
        <v>2024</v>
      </c>
      <c r="L99" t="s">
        <v>24</v>
      </c>
      <c r="M99" t="s">
        <v>1087</v>
      </c>
      <c r="N99">
        <v>2</v>
      </c>
      <c r="O99">
        <v>307</v>
      </c>
    </row>
    <row r="100" spans="1:15">
      <c r="A100" t="s">
        <v>696</v>
      </c>
      <c r="B100" t="s">
        <v>70</v>
      </c>
      <c r="C100" t="s">
        <v>44</v>
      </c>
      <c r="D100">
        <v>37</v>
      </c>
      <c r="E100" t="s">
        <v>48</v>
      </c>
      <c r="F100">
        <v>73</v>
      </c>
      <c r="G100" t="s">
        <v>37</v>
      </c>
      <c r="H100" s="36">
        <v>45119</v>
      </c>
      <c r="I100">
        <v>87</v>
      </c>
      <c r="J100">
        <v>4.8</v>
      </c>
      <c r="K100">
        <v>2024</v>
      </c>
      <c r="L100" t="s">
        <v>24</v>
      </c>
      <c r="M100" t="s">
        <v>1086</v>
      </c>
      <c r="N100">
        <v>5</v>
      </c>
      <c r="O100">
        <v>307</v>
      </c>
    </row>
    <row r="101" spans="1:15">
      <c r="A101" t="s">
        <v>697</v>
      </c>
      <c r="B101" t="s">
        <v>67</v>
      </c>
      <c r="C101" t="s">
        <v>43</v>
      </c>
      <c r="D101">
        <v>37</v>
      </c>
      <c r="E101" t="s">
        <v>47</v>
      </c>
      <c r="F101">
        <v>45</v>
      </c>
      <c r="G101" t="s">
        <v>38</v>
      </c>
      <c r="H101" s="36">
        <v>45119</v>
      </c>
      <c r="I101">
        <v>84</v>
      </c>
      <c r="J101">
        <v>4.8</v>
      </c>
      <c r="K101">
        <v>2024</v>
      </c>
      <c r="L101" t="s">
        <v>24</v>
      </c>
      <c r="M101" t="s">
        <v>1088</v>
      </c>
      <c r="N101">
        <v>5</v>
      </c>
      <c r="O101">
        <v>307</v>
      </c>
    </row>
    <row r="102" spans="1:15">
      <c r="A102" t="s">
        <v>698</v>
      </c>
      <c r="B102" t="s">
        <v>71</v>
      </c>
      <c r="C102" t="s">
        <v>44</v>
      </c>
      <c r="D102">
        <v>23</v>
      </c>
      <c r="E102" t="s">
        <v>48</v>
      </c>
      <c r="F102">
        <v>114</v>
      </c>
      <c r="G102" t="s">
        <v>39</v>
      </c>
      <c r="H102" s="36">
        <v>45119</v>
      </c>
      <c r="I102">
        <v>114</v>
      </c>
      <c r="J102">
        <v>3.9</v>
      </c>
      <c r="K102">
        <v>2024</v>
      </c>
      <c r="L102" t="s">
        <v>24</v>
      </c>
      <c r="M102" t="s">
        <v>1086</v>
      </c>
      <c r="N102">
        <v>4</v>
      </c>
      <c r="O102">
        <v>307</v>
      </c>
    </row>
    <row r="103" spans="1:15">
      <c r="A103" t="s">
        <v>709</v>
      </c>
      <c r="B103" t="s">
        <v>59</v>
      </c>
      <c r="C103" t="s">
        <v>44</v>
      </c>
      <c r="D103">
        <v>26</v>
      </c>
      <c r="E103" t="s">
        <v>45</v>
      </c>
      <c r="F103">
        <v>76</v>
      </c>
      <c r="G103" t="s">
        <v>38</v>
      </c>
      <c r="H103" s="36">
        <v>45126</v>
      </c>
      <c r="I103">
        <v>84</v>
      </c>
      <c r="J103">
        <v>3.9</v>
      </c>
      <c r="K103">
        <v>2024</v>
      </c>
      <c r="L103" t="s">
        <v>24</v>
      </c>
      <c r="M103" t="s">
        <v>1086</v>
      </c>
      <c r="N103">
        <v>4</v>
      </c>
      <c r="O103">
        <v>307</v>
      </c>
    </row>
    <row r="104" spans="1:15">
      <c r="A104" t="s">
        <v>710</v>
      </c>
      <c r="B104" t="s">
        <v>60</v>
      </c>
      <c r="C104" t="s">
        <v>44</v>
      </c>
      <c r="D104">
        <v>36</v>
      </c>
      <c r="E104" t="s">
        <v>45</v>
      </c>
      <c r="F104">
        <v>144</v>
      </c>
      <c r="G104" t="s">
        <v>38</v>
      </c>
      <c r="H104" s="36">
        <v>45126</v>
      </c>
      <c r="I104">
        <v>164</v>
      </c>
      <c r="J104">
        <v>2.8</v>
      </c>
      <c r="K104">
        <v>2024</v>
      </c>
      <c r="L104" t="s">
        <v>24</v>
      </c>
      <c r="M104" t="s">
        <v>1087</v>
      </c>
      <c r="N104">
        <v>3</v>
      </c>
      <c r="O104">
        <v>307</v>
      </c>
    </row>
    <row r="105" spans="1:15">
      <c r="A105" t="s">
        <v>711</v>
      </c>
      <c r="B105" t="s">
        <v>65</v>
      </c>
      <c r="C105" t="s">
        <v>43</v>
      </c>
      <c r="D105">
        <v>42</v>
      </c>
      <c r="E105" t="s">
        <v>47</v>
      </c>
      <c r="F105">
        <v>109</v>
      </c>
      <c r="G105" t="s">
        <v>40</v>
      </c>
      <c r="H105" s="36">
        <v>45126</v>
      </c>
      <c r="I105">
        <v>132</v>
      </c>
      <c r="J105">
        <v>3.1</v>
      </c>
      <c r="K105">
        <v>2024</v>
      </c>
      <c r="L105" t="s">
        <v>24</v>
      </c>
      <c r="M105" t="s">
        <v>1086</v>
      </c>
      <c r="N105">
        <v>3</v>
      </c>
      <c r="O105">
        <v>307</v>
      </c>
    </row>
    <row r="106" spans="1:15">
      <c r="A106" t="s">
        <v>721</v>
      </c>
      <c r="B106" t="s">
        <v>68</v>
      </c>
      <c r="C106" t="s">
        <v>43</v>
      </c>
      <c r="D106">
        <v>43</v>
      </c>
      <c r="E106" t="s">
        <v>47</v>
      </c>
      <c r="F106">
        <v>10</v>
      </c>
      <c r="G106" t="s">
        <v>38</v>
      </c>
      <c r="H106" s="36">
        <v>45133</v>
      </c>
      <c r="I106">
        <v>72</v>
      </c>
      <c r="J106">
        <v>3.7</v>
      </c>
      <c r="K106">
        <v>2024</v>
      </c>
      <c r="L106" t="s">
        <v>24</v>
      </c>
      <c r="M106" t="s">
        <v>1090</v>
      </c>
      <c r="N106">
        <v>4</v>
      </c>
      <c r="O106">
        <v>307</v>
      </c>
    </row>
    <row r="107" spans="1:15">
      <c r="A107" t="s">
        <v>722</v>
      </c>
      <c r="B107" t="s">
        <v>60</v>
      </c>
      <c r="C107" t="s">
        <v>44</v>
      </c>
      <c r="D107">
        <v>36</v>
      </c>
      <c r="E107" t="s">
        <v>45</v>
      </c>
      <c r="F107">
        <v>138</v>
      </c>
      <c r="G107" t="s">
        <v>38</v>
      </c>
      <c r="H107" s="36">
        <v>45133</v>
      </c>
      <c r="I107">
        <v>195</v>
      </c>
      <c r="J107">
        <v>4.1</v>
      </c>
      <c r="K107">
        <v>2024</v>
      </c>
      <c r="L107" t="s">
        <v>24</v>
      </c>
      <c r="M107" t="s">
        <v>1087</v>
      </c>
      <c r="N107">
        <v>4</v>
      </c>
      <c r="O107">
        <v>307</v>
      </c>
    </row>
    <row r="108" spans="1:15">
      <c r="A108" t="s">
        <v>734</v>
      </c>
      <c r="B108" t="s">
        <v>64</v>
      </c>
      <c r="C108" t="s">
        <v>43</v>
      </c>
      <c r="D108">
        <v>22</v>
      </c>
      <c r="E108" t="s">
        <v>47</v>
      </c>
      <c r="F108">
        <v>71</v>
      </c>
      <c r="G108" t="s">
        <v>40</v>
      </c>
      <c r="H108" s="36">
        <v>45140</v>
      </c>
      <c r="I108">
        <v>170</v>
      </c>
      <c r="J108">
        <v>3.5</v>
      </c>
      <c r="K108">
        <v>2024</v>
      </c>
      <c r="L108" t="s">
        <v>24</v>
      </c>
      <c r="M108" t="s">
        <v>1086</v>
      </c>
      <c r="N108">
        <v>4</v>
      </c>
      <c r="O108">
        <v>307</v>
      </c>
    </row>
    <row r="109" spans="1:15">
      <c r="A109" t="s">
        <v>753</v>
      </c>
      <c r="B109" t="s">
        <v>62</v>
      </c>
      <c r="C109" t="s">
        <v>43</v>
      </c>
      <c r="D109">
        <v>28</v>
      </c>
      <c r="E109" t="s">
        <v>45</v>
      </c>
      <c r="F109">
        <v>155</v>
      </c>
      <c r="G109" t="s">
        <v>40</v>
      </c>
      <c r="H109" s="36">
        <v>45154</v>
      </c>
      <c r="I109">
        <v>135</v>
      </c>
      <c r="J109">
        <v>4.9</v>
      </c>
      <c r="K109">
        <v>2024</v>
      </c>
      <c r="L109" t="s">
        <v>24</v>
      </c>
      <c r="M109" t="s">
        <v>1087</v>
      </c>
      <c r="N109">
        <v>5</v>
      </c>
      <c r="O109">
        <v>307</v>
      </c>
    </row>
    <row r="110" spans="1:15">
      <c r="A110" t="s">
        <v>765</v>
      </c>
      <c r="B110" t="s">
        <v>73</v>
      </c>
      <c r="C110" t="s">
        <v>43</v>
      </c>
      <c r="D110">
        <v>38</v>
      </c>
      <c r="E110" t="s">
        <v>48</v>
      </c>
      <c r="F110">
        <v>111</v>
      </c>
      <c r="G110" t="s">
        <v>39</v>
      </c>
      <c r="H110" s="36">
        <v>45161</v>
      </c>
      <c r="I110">
        <v>120</v>
      </c>
      <c r="J110">
        <v>1.8</v>
      </c>
      <c r="K110">
        <v>2024</v>
      </c>
      <c r="L110" t="s">
        <v>24</v>
      </c>
      <c r="M110" t="s">
        <v>1086</v>
      </c>
      <c r="N110">
        <v>2</v>
      </c>
      <c r="O110">
        <v>307</v>
      </c>
    </row>
    <row r="111" spans="1:15">
      <c r="A111" t="s">
        <v>766</v>
      </c>
      <c r="B111" t="s">
        <v>61</v>
      </c>
      <c r="C111" t="s">
        <v>43</v>
      </c>
      <c r="D111">
        <v>30</v>
      </c>
      <c r="E111" t="s">
        <v>45</v>
      </c>
      <c r="F111">
        <v>15</v>
      </c>
      <c r="G111" t="s">
        <v>39</v>
      </c>
      <c r="H111" s="36">
        <v>45161</v>
      </c>
      <c r="I111">
        <v>120</v>
      </c>
      <c r="J111">
        <v>4.1</v>
      </c>
      <c r="K111">
        <v>2024</v>
      </c>
      <c r="L111" t="s">
        <v>24</v>
      </c>
      <c r="M111" t="s">
        <v>1089</v>
      </c>
      <c r="N111">
        <v>4</v>
      </c>
      <c r="O111">
        <v>307</v>
      </c>
    </row>
    <row r="112" spans="1:15">
      <c r="A112" t="s">
        <v>781</v>
      </c>
      <c r="B112" t="s">
        <v>61</v>
      </c>
      <c r="C112" t="s">
        <v>43</v>
      </c>
      <c r="D112">
        <v>30</v>
      </c>
      <c r="E112" t="s">
        <v>45</v>
      </c>
      <c r="F112">
        <v>70</v>
      </c>
      <c r="G112" t="s">
        <v>37</v>
      </c>
      <c r="H112" s="36">
        <v>45168</v>
      </c>
      <c r="I112">
        <v>210</v>
      </c>
      <c r="J112">
        <v>4.1</v>
      </c>
      <c r="K112">
        <v>2024</v>
      </c>
      <c r="L112" t="s">
        <v>24</v>
      </c>
      <c r="M112" t="s">
        <v>1086</v>
      </c>
      <c r="N112">
        <v>4</v>
      </c>
      <c r="O112">
        <v>307</v>
      </c>
    </row>
    <row r="113" spans="1:15">
      <c r="A113" t="s">
        <v>782</v>
      </c>
      <c r="B113" t="s">
        <v>60</v>
      </c>
      <c r="C113" t="s">
        <v>44</v>
      </c>
      <c r="D113">
        <v>36</v>
      </c>
      <c r="E113" t="s">
        <v>45</v>
      </c>
      <c r="F113">
        <v>51</v>
      </c>
      <c r="G113" t="s">
        <v>40</v>
      </c>
      <c r="H113" s="36">
        <v>45168</v>
      </c>
      <c r="I113">
        <v>111</v>
      </c>
      <c r="J113">
        <v>4.3</v>
      </c>
      <c r="K113">
        <v>2024</v>
      </c>
      <c r="L113" t="s">
        <v>24</v>
      </c>
      <c r="M113" t="s">
        <v>1088</v>
      </c>
      <c r="N113">
        <v>4</v>
      </c>
      <c r="O113">
        <v>307</v>
      </c>
    </row>
    <row r="114" spans="1:15">
      <c r="A114" t="s">
        <v>794</v>
      </c>
      <c r="B114" t="s">
        <v>64</v>
      </c>
      <c r="C114" t="s">
        <v>43</v>
      </c>
      <c r="D114">
        <v>22</v>
      </c>
      <c r="E114" t="s">
        <v>47</v>
      </c>
      <c r="F114">
        <v>52</v>
      </c>
      <c r="G114" t="s">
        <v>39</v>
      </c>
      <c r="H114" s="36">
        <v>45175</v>
      </c>
      <c r="I114">
        <v>88</v>
      </c>
      <c r="J114">
        <v>4.3</v>
      </c>
      <c r="K114">
        <v>2024</v>
      </c>
      <c r="L114" t="s">
        <v>24</v>
      </c>
      <c r="M114" t="s">
        <v>1088</v>
      </c>
      <c r="N114">
        <v>4</v>
      </c>
      <c r="O114">
        <v>307</v>
      </c>
    </row>
    <row r="115" spans="1:15">
      <c r="A115" t="s">
        <v>795</v>
      </c>
      <c r="B115" t="s">
        <v>60</v>
      </c>
      <c r="C115" t="s">
        <v>44</v>
      </c>
      <c r="D115">
        <v>36</v>
      </c>
      <c r="E115" t="s">
        <v>45</v>
      </c>
      <c r="F115">
        <v>100</v>
      </c>
      <c r="G115" t="s">
        <v>40</v>
      </c>
      <c r="H115" s="36">
        <v>45175</v>
      </c>
      <c r="I115">
        <v>24</v>
      </c>
      <c r="J115">
        <v>4.7</v>
      </c>
      <c r="K115">
        <v>2024</v>
      </c>
      <c r="L115" t="s">
        <v>24</v>
      </c>
      <c r="M115" t="s">
        <v>1086</v>
      </c>
      <c r="N115">
        <v>5</v>
      </c>
      <c r="O115">
        <v>307</v>
      </c>
    </row>
    <row r="116" spans="1:15">
      <c r="A116" t="s">
        <v>796</v>
      </c>
      <c r="B116" t="s">
        <v>73</v>
      </c>
      <c r="C116" t="s">
        <v>43</v>
      </c>
      <c r="D116">
        <v>38</v>
      </c>
      <c r="E116" t="s">
        <v>48</v>
      </c>
      <c r="F116">
        <v>58</v>
      </c>
      <c r="G116" t="s">
        <v>38</v>
      </c>
      <c r="H116" s="36">
        <v>45175</v>
      </c>
      <c r="I116">
        <v>96</v>
      </c>
      <c r="J116">
        <v>3.2</v>
      </c>
      <c r="K116">
        <v>2024</v>
      </c>
      <c r="L116" t="s">
        <v>24</v>
      </c>
      <c r="M116" t="s">
        <v>1088</v>
      </c>
      <c r="N116">
        <v>3</v>
      </c>
      <c r="O116">
        <v>307</v>
      </c>
    </row>
    <row r="117" spans="1:15">
      <c r="A117" t="s">
        <v>813</v>
      </c>
      <c r="B117" t="s">
        <v>70</v>
      </c>
      <c r="C117" t="s">
        <v>44</v>
      </c>
      <c r="D117">
        <v>37</v>
      </c>
      <c r="E117" t="s">
        <v>48</v>
      </c>
      <c r="F117">
        <v>76</v>
      </c>
      <c r="G117" t="s">
        <v>38</v>
      </c>
      <c r="H117" s="36">
        <v>45182</v>
      </c>
      <c r="I117">
        <v>108</v>
      </c>
      <c r="J117">
        <v>4.9</v>
      </c>
      <c r="K117">
        <v>2024</v>
      </c>
      <c r="L117" t="s">
        <v>24</v>
      </c>
      <c r="M117" t="s">
        <v>1086</v>
      </c>
      <c r="N117">
        <v>5</v>
      </c>
      <c r="O117">
        <v>307</v>
      </c>
    </row>
    <row r="118" spans="1:15">
      <c r="A118" t="s">
        <v>814</v>
      </c>
      <c r="B118" t="s">
        <v>59</v>
      </c>
      <c r="C118" t="s">
        <v>44</v>
      </c>
      <c r="D118">
        <v>26</v>
      </c>
      <c r="E118" t="s">
        <v>45</v>
      </c>
      <c r="F118">
        <v>110</v>
      </c>
      <c r="G118" t="s">
        <v>38</v>
      </c>
      <c r="H118" s="36">
        <v>45182</v>
      </c>
      <c r="I118">
        <v>180</v>
      </c>
      <c r="J118">
        <v>4.2</v>
      </c>
      <c r="K118">
        <v>2024</v>
      </c>
      <c r="L118" t="s">
        <v>24</v>
      </c>
      <c r="M118" t="s">
        <v>1086</v>
      </c>
      <c r="N118">
        <v>4</v>
      </c>
      <c r="O118">
        <v>307</v>
      </c>
    </row>
    <row r="119" spans="1:15">
      <c r="A119" t="s">
        <v>821</v>
      </c>
      <c r="B119" t="s">
        <v>59</v>
      </c>
      <c r="C119" t="s">
        <v>44</v>
      </c>
      <c r="D119">
        <v>26</v>
      </c>
      <c r="E119" t="s">
        <v>45</v>
      </c>
      <c r="F119">
        <v>71</v>
      </c>
      <c r="G119" t="s">
        <v>40</v>
      </c>
      <c r="H119" s="36">
        <v>45189</v>
      </c>
      <c r="I119">
        <v>50</v>
      </c>
      <c r="J119">
        <v>4.2</v>
      </c>
      <c r="K119">
        <v>2024</v>
      </c>
      <c r="L119" t="s">
        <v>24</v>
      </c>
      <c r="M119" t="s">
        <v>1086</v>
      </c>
      <c r="N119">
        <v>4</v>
      </c>
      <c r="O119">
        <v>307</v>
      </c>
    </row>
    <row r="120" spans="1:15">
      <c r="A120" t="s">
        <v>839</v>
      </c>
      <c r="B120" t="s">
        <v>71</v>
      </c>
      <c r="C120" t="s">
        <v>44</v>
      </c>
      <c r="D120">
        <v>23</v>
      </c>
      <c r="E120" t="s">
        <v>48</v>
      </c>
      <c r="F120">
        <v>142</v>
      </c>
      <c r="G120" t="s">
        <v>37</v>
      </c>
      <c r="H120" s="36">
        <v>45196</v>
      </c>
      <c r="I120">
        <v>37</v>
      </c>
      <c r="J120">
        <v>3.8</v>
      </c>
      <c r="K120">
        <v>2024</v>
      </c>
      <c r="L120" t="s">
        <v>24</v>
      </c>
      <c r="M120" t="s">
        <v>1087</v>
      </c>
      <c r="N120">
        <v>4</v>
      </c>
      <c r="O120">
        <v>307</v>
      </c>
    </row>
    <row r="121" spans="1:15">
      <c r="A121" t="s">
        <v>840</v>
      </c>
      <c r="B121" t="s">
        <v>71</v>
      </c>
      <c r="C121" t="s">
        <v>44</v>
      </c>
      <c r="D121">
        <v>23</v>
      </c>
      <c r="E121" t="s">
        <v>48</v>
      </c>
      <c r="F121">
        <v>71</v>
      </c>
      <c r="G121" t="s">
        <v>39</v>
      </c>
      <c r="H121" s="36">
        <v>45196</v>
      </c>
      <c r="I121">
        <v>135</v>
      </c>
      <c r="J121">
        <v>3.9</v>
      </c>
      <c r="K121">
        <v>2024</v>
      </c>
      <c r="L121" t="s">
        <v>24</v>
      </c>
      <c r="M121" t="s">
        <v>1086</v>
      </c>
      <c r="N121">
        <v>4</v>
      </c>
      <c r="O121">
        <v>307</v>
      </c>
    </row>
    <row r="122" spans="1:15">
      <c r="A122" t="s">
        <v>841</v>
      </c>
      <c r="B122" t="s">
        <v>63</v>
      </c>
      <c r="C122" t="s">
        <v>44</v>
      </c>
      <c r="D122">
        <v>31</v>
      </c>
      <c r="E122" t="s">
        <v>47</v>
      </c>
      <c r="F122">
        <v>152</v>
      </c>
      <c r="G122" t="s">
        <v>39</v>
      </c>
      <c r="H122" s="36">
        <v>45196</v>
      </c>
      <c r="I122">
        <v>88</v>
      </c>
      <c r="J122">
        <v>4.7</v>
      </c>
      <c r="K122">
        <v>2024</v>
      </c>
      <c r="L122" t="s">
        <v>24</v>
      </c>
      <c r="M122" t="s">
        <v>1087</v>
      </c>
      <c r="N122">
        <v>5</v>
      </c>
      <c r="O122">
        <v>307</v>
      </c>
    </row>
    <row r="123" spans="1:15">
      <c r="A123" t="s">
        <v>842</v>
      </c>
      <c r="B123" t="s">
        <v>69</v>
      </c>
      <c r="C123" t="s">
        <v>44</v>
      </c>
      <c r="D123">
        <v>41</v>
      </c>
      <c r="E123" t="s">
        <v>48</v>
      </c>
      <c r="F123">
        <v>108</v>
      </c>
      <c r="G123" t="s">
        <v>37</v>
      </c>
      <c r="H123" s="36">
        <v>45196</v>
      </c>
      <c r="I123">
        <v>190</v>
      </c>
      <c r="J123">
        <v>3.2</v>
      </c>
      <c r="K123">
        <v>2024</v>
      </c>
      <c r="L123" t="s">
        <v>24</v>
      </c>
      <c r="M123" t="s">
        <v>1086</v>
      </c>
      <c r="N123">
        <v>3</v>
      </c>
      <c r="O123">
        <v>307</v>
      </c>
    </row>
    <row r="124" spans="1:15">
      <c r="A124" t="s">
        <v>843</v>
      </c>
      <c r="B124" t="s">
        <v>69</v>
      </c>
      <c r="C124" t="s">
        <v>44</v>
      </c>
      <c r="D124">
        <v>41</v>
      </c>
      <c r="E124" t="s">
        <v>48</v>
      </c>
      <c r="F124">
        <v>156</v>
      </c>
      <c r="G124" t="s">
        <v>39</v>
      </c>
      <c r="H124" s="36">
        <v>45196</v>
      </c>
      <c r="I124">
        <v>81</v>
      </c>
      <c r="J124">
        <v>5</v>
      </c>
      <c r="K124">
        <v>2024</v>
      </c>
      <c r="L124" t="s">
        <v>24</v>
      </c>
      <c r="M124" t="s">
        <v>1087</v>
      </c>
      <c r="N124">
        <v>5</v>
      </c>
      <c r="O124">
        <v>307</v>
      </c>
    </row>
    <row r="125" spans="1:15">
      <c r="A125" t="s">
        <v>844</v>
      </c>
      <c r="B125" t="s">
        <v>71</v>
      </c>
      <c r="C125" t="s">
        <v>44</v>
      </c>
      <c r="D125">
        <v>23</v>
      </c>
      <c r="E125" t="s">
        <v>48</v>
      </c>
      <c r="F125">
        <v>126</v>
      </c>
      <c r="G125" t="s">
        <v>37</v>
      </c>
      <c r="H125" s="36">
        <v>45196</v>
      </c>
      <c r="I125">
        <v>44</v>
      </c>
      <c r="J125">
        <v>3.7</v>
      </c>
      <c r="K125">
        <v>2024</v>
      </c>
      <c r="L125" t="s">
        <v>24</v>
      </c>
      <c r="M125" t="s">
        <v>1087</v>
      </c>
      <c r="N125">
        <v>4</v>
      </c>
      <c r="O125">
        <v>307</v>
      </c>
    </row>
    <row r="126" spans="1:15">
      <c r="A126" t="s">
        <v>876</v>
      </c>
      <c r="B126" t="s">
        <v>61</v>
      </c>
      <c r="C126" t="s">
        <v>43</v>
      </c>
      <c r="D126">
        <v>30</v>
      </c>
      <c r="E126" t="s">
        <v>45</v>
      </c>
      <c r="F126">
        <v>86</v>
      </c>
      <c r="G126" t="s">
        <v>40</v>
      </c>
      <c r="H126" s="36">
        <v>45203</v>
      </c>
      <c r="I126">
        <v>92</v>
      </c>
      <c r="J126">
        <v>2.4</v>
      </c>
      <c r="K126">
        <v>2024</v>
      </c>
      <c r="L126" t="s">
        <v>24</v>
      </c>
      <c r="M126" t="s">
        <v>1086</v>
      </c>
      <c r="N126">
        <v>2</v>
      </c>
      <c r="O126">
        <v>307</v>
      </c>
    </row>
    <row r="127" spans="1:15">
      <c r="A127" t="s">
        <v>877</v>
      </c>
      <c r="B127" t="s">
        <v>62</v>
      </c>
      <c r="C127" t="s">
        <v>43</v>
      </c>
      <c r="D127">
        <v>28</v>
      </c>
      <c r="E127" t="s">
        <v>45</v>
      </c>
      <c r="F127">
        <v>57</v>
      </c>
      <c r="G127" t="s">
        <v>39</v>
      </c>
      <c r="H127" s="36">
        <v>45203</v>
      </c>
      <c r="I127">
        <v>48</v>
      </c>
      <c r="J127">
        <v>4.5</v>
      </c>
      <c r="K127">
        <v>2024</v>
      </c>
      <c r="L127" t="s">
        <v>24</v>
      </c>
      <c r="M127" t="s">
        <v>1088</v>
      </c>
      <c r="N127">
        <v>5</v>
      </c>
      <c r="O127">
        <v>307</v>
      </c>
    </row>
    <row r="128" spans="1:15">
      <c r="A128" t="s">
        <v>878</v>
      </c>
      <c r="B128" t="s">
        <v>73</v>
      </c>
      <c r="C128" t="s">
        <v>43</v>
      </c>
      <c r="D128">
        <v>38</v>
      </c>
      <c r="E128" t="s">
        <v>48</v>
      </c>
      <c r="F128">
        <v>103</v>
      </c>
      <c r="G128" t="s">
        <v>38</v>
      </c>
      <c r="H128" s="36">
        <v>45203</v>
      </c>
      <c r="I128">
        <v>160</v>
      </c>
      <c r="J128">
        <v>4.5</v>
      </c>
      <c r="K128">
        <v>2024</v>
      </c>
      <c r="L128" t="s">
        <v>24</v>
      </c>
      <c r="M128" t="s">
        <v>1086</v>
      </c>
      <c r="N128">
        <v>5</v>
      </c>
      <c r="O128">
        <v>307</v>
      </c>
    </row>
    <row r="129" spans="1:15">
      <c r="A129" t="s">
        <v>903</v>
      </c>
      <c r="B129" t="s">
        <v>73</v>
      </c>
      <c r="C129" t="s">
        <v>43</v>
      </c>
      <c r="D129">
        <v>38</v>
      </c>
      <c r="E129" t="s">
        <v>48</v>
      </c>
      <c r="F129">
        <v>84</v>
      </c>
      <c r="G129" t="s">
        <v>39</v>
      </c>
      <c r="H129" s="36">
        <v>45210</v>
      </c>
      <c r="I129">
        <v>54</v>
      </c>
      <c r="J129">
        <v>3.3</v>
      </c>
      <c r="K129">
        <v>2024</v>
      </c>
      <c r="L129" t="s">
        <v>24</v>
      </c>
      <c r="M129" t="s">
        <v>1086</v>
      </c>
      <c r="N129">
        <v>3</v>
      </c>
      <c r="O129">
        <v>307</v>
      </c>
    </row>
    <row r="130" spans="1:15">
      <c r="A130" t="s">
        <v>904</v>
      </c>
      <c r="B130" t="s">
        <v>73</v>
      </c>
      <c r="C130" t="s">
        <v>43</v>
      </c>
      <c r="D130">
        <v>38</v>
      </c>
      <c r="E130" t="s">
        <v>48</v>
      </c>
      <c r="F130">
        <v>150</v>
      </c>
      <c r="G130" t="s">
        <v>36</v>
      </c>
      <c r="H130" s="36">
        <v>45210</v>
      </c>
      <c r="I130">
        <v>108</v>
      </c>
      <c r="J130">
        <v>4.7</v>
      </c>
      <c r="K130">
        <v>2024</v>
      </c>
      <c r="L130" t="s">
        <v>24</v>
      </c>
      <c r="M130" t="s">
        <v>1087</v>
      </c>
      <c r="N130">
        <v>5</v>
      </c>
      <c r="O130">
        <v>307</v>
      </c>
    </row>
    <row r="131" spans="1:15">
      <c r="A131" t="s">
        <v>905</v>
      </c>
      <c r="B131" t="s">
        <v>65</v>
      </c>
      <c r="C131" t="s">
        <v>43</v>
      </c>
      <c r="D131">
        <v>42</v>
      </c>
      <c r="E131" t="s">
        <v>47</v>
      </c>
      <c r="F131">
        <v>69</v>
      </c>
      <c r="G131" t="s">
        <v>38</v>
      </c>
      <c r="H131" s="36">
        <v>45210</v>
      </c>
      <c r="I131">
        <v>36</v>
      </c>
      <c r="J131">
        <v>4.5</v>
      </c>
      <c r="K131">
        <v>2024</v>
      </c>
      <c r="L131" t="s">
        <v>24</v>
      </c>
      <c r="M131" t="s">
        <v>1086</v>
      </c>
      <c r="N131">
        <v>5</v>
      </c>
      <c r="O131">
        <v>307</v>
      </c>
    </row>
    <row r="132" spans="1:15">
      <c r="A132" t="s">
        <v>929</v>
      </c>
      <c r="B132" t="s">
        <v>66</v>
      </c>
      <c r="C132" t="s">
        <v>43</v>
      </c>
      <c r="D132">
        <v>30</v>
      </c>
      <c r="E132" t="s">
        <v>47</v>
      </c>
      <c r="F132">
        <v>155</v>
      </c>
      <c r="G132" t="s">
        <v>38</v>
      </c>
      <c r="H132" s="36">
        <v>45217</v>
      </c>
      <c r="I132">
        <v>72</v>
      </c>
      <c r="J132">
        <v>4.7</v>
      </c>
      <c r="K132">
        <v>2024</v>
      </c>
      <c r="L132" t="s">
        <v>24</v>
      </c>
      <c r="M132" t="s">
        <v>1087</v>
      </c>
      <c r="N132">
        <v>5</v>
      </c>
      <c r="O132">
        <v>307</v>
      </c>
    </row>
    <row r="133" spans="1:15">
      <c r="A133" t="s">
        <v>930</v>
      </c>
      <c r="B133" t="s">
        <v>73</v>
      </c>
      <c r="C133" t="s">
        <v>43</v>
      </c>
      <c r="D133">
        <v>38</v>
      </c>
      <c r="E133" t="s">
        <v>48</v>
      </c>
      <c r="F133">
        <v>173</v>
      </c>
      <c r="G133" t="s">
        <v>36</v>
      </c>
      <c r="H133" s="36">
        <v>45217</v>
      </c>
      <c r="I133">
        <v>160</v>
      </c>
      <c r="J133">
        <v>2.8</v>
      </c>
      <c r="K133">
        <v>2024</v>
      </c>
      <c r="L133" t="s">
        <v>24</v>
      </c>
      <c r="M133" t="s">
        <v>1087</v>
      </c>
      <c r="N133">
        <v>3</v>
      </c>
      <c r="O133">
        <v>307</v>
      </c>
    </row>
    <row r="134" spans="1:15">
      <c r="A134" t="s">
        <v>931</v>
      </c>
      <c r="B134" t="s">
        <v>66</v>
      </c>
      <c r="C134" t="s">
        <v>43</v>
      </c>
      <c r="D134">
        <v>30</v>
      </c>
      <c r="E134" t="s">
        <v>47</v>
      </c>
      <c r="F134">
        <v>127</v>
      </c>
      <c r="G134" t="s">
        <v>38</v>
      </c>
      <c r="H134" s="36">
        <v>45217</v>
      </c>
      <c r="I134">
        <v>165</v>
      </c>
      <c r="J134">
        <v>2.5</v>
      </c>
      <c r="K134">
        <v>2024</v>
      </c>
      <c r="L134" t="s">
        <v>24</v>
      </c>
      <c r="M134" t="s">
        <v>1087</v>
      </c>
      <c r="N134">
        <v>3</v>
      </c>
      <c r="O134">
        <v>307</v>
      </c>
    </row>
    <row r="135" spans="1:15">
      <c r="A135" t="s">
        <v>932</v>
      </c>
      <c r="B135" t="s">
        <v>60</v>
      </c>
      <c r="C135" t="s">
        <v>44</v>
      </c>
      <c r="D135">
        <v>36</v>
      </c>
      <c r="E135" t="s">
        <v>45</v>
      </c>
      <c r="F135">
        <v>117</v>
      </c>
      <c r="G135" t="s">
        <v>36</v>
      </c>
      <c r="H135" s="36">
        <v>45217</v>
      </c>
      <c r="I135">
        <v>120</v>
      </c>
      <c r="J135">
        <v>3.4</v>
      </c>
      <c r="K135">
        <v>2024</v>
      </c>
      <c r="L135" t="s">
        <v>24</v>
      </c>
      <c r="M135" t="s">
        <v>1086</v>
      </c>
      <c r="N135">
        <v>3</v>
      </c>
      <c r="O135">
        <v>307</v>
      </c>
    </row>
    <row r="136" spans="1:15">
      <c r="A136" t="s">
        <v>933</v>
      </c>
      <c r="B136" t="s">
        <v>59</v>
      </c>
      <c r="C136" t="s">
        <v>44</v>
      </c>
      <c r="D136">
        <v>26</v>
      </c>
      <c r="E136" t="s">
        <v>45</v>
      </c>
      <c r="F136">
        <v>133</v>
      </c>
      <c r="G136" t="s">
        <v>37</v>
      </c>
      <c r="H136" s="36">
        <v>45217</v>
      </c>
      <c r="I136">
        <v>117</v>
      </c>
      <c r="J136">
        <v>4.8</v>
      </c>
      <c r="K136">
        <v>2024</v>
      </c>
      <c r="L136" t="s">
        <v>24</v>
      </c>
      <c r="M136" t="s">
        <v>1087</v>
      </c>
      <c r="N136">
        <v>5</v>
      </c>
      <c r="O136">
        <v>307</v>
      </c>
    </row>
    <row r="137" spans="1:15">
      <c r="A137" t="s">
        <v>953</v>
      </c>
      <c r="B137" t="s">
        <v>69</v>
      </c>
      <c r="C137" t="s">
        <v>44</v>
      </c>
      <c r="D137">
        <v>41</v>
      </c>
      <c r="E137" t="s">
        <v>48</v>
      </c>
      <c r="F137">
        <v>68</v>
      </c>
      <c r="G137" t="s">
        <v>37</v>
      </c>
      <c r="H137" s="36">
        <v>45224</v>
      </c>
      <c r="I137">
        <v>24</v>
      </c>
      <c r="J137">
        <v>4</v>
      </c>
      <c r="K137">
        <v>2024</v>
      </c>
      <c r="L137" t="s">
        <v>24</v>
      </c>
      <c r="M137" t="s">
        <v>1086</v>
      </c>
      <c r="N137">
        <v>4</v>
      </c>
      <c r="O137">
        <v>307</v>
      </c>
    </row>
    <row r="138" spans="1:15">
      <c r="A138" t="s">
        <v>954</v>
      </c>
      <c r="B138" t="s">
        <v>62</v>
      </c>
      <c r="C138" t="s">
        <v>43</v>
      </c>
      <c r="D138">
        <v>28</v>
      </c>
      <c r="E138" t="s">
        <v>45</v>
      </c>
      <c r="F138">
        <v>101</v>
      </c>
      <c r="G138" t="s">
        <v>37</v>
      </c>
      <c r="H138" s="36">
        <v>45224</v>
      </c>
      <c r="I138">
        <v>125</v>
      </c>
      <c r="J138">
        <v>4.2</v>
      </c>
      <c r="K138">
        <v>2024</v>
      </c>
      <c r="L138" t="s">
        <v>24</v>
      </c>
      <c r="M138" t="s">
        <v>1086</v>
      </c>
      <c r="N138">
        <v>4</v>
      </c>
      <c r="O138">
        <v>307</v>
      </c>
    </row>
    <row r="139" spans="1:15">
      <c r="A139" t="s">
        <v>974</v>
      </c>
      <c r="B139" t="s">
        <v>70</v>
      </c>
      <c r="C139" t="s">
        <v>44</v>
      </c>
      <c r="D139">
        <v>37</v>
      </c>
      <c r="E139" t="s">
        <v>48</v>
      </c>
      <c r="F139">
        <v>165</v>
      </c>
      <c r="G139" t="s">
        <v>39</v>
      </c>
      <c r="H139" s="36">
        <v>45231</v>
      </c>
      <c r="I139">
        <v>66</v>
      </c>
      <c r="J139">
        <v>4.8</v>
      </c>
      <c r="K139">
        <v>2024</v>
      </c>
      <c r="L139" t="s">
        <v>24</v>
      </c>
      <c r="M139" t="s">
        <v>1087</v>
      </c>
      <c r="N139">
        <v>5</v>
      </c>
      <c r="O139">
        <v>307</v>
      </c>
    </row>
    <row r="140" spans="1:15">
      <c r="A140" t="s">
        <v>975</v>
      </c>
      <c r="B140" t="s">
        <v>65</v>
      </c>
      <c r="C140" t="s">
        <v>43</v>
      </c>
      <c r="D140">
        <v>42</v>
      </c>
      <c r="E140" t="s">
        <v>47</v>
      </c>
      <c r="F140">
        <v>62</v>
      </c>
      <c r="G140" t="s">
        <v>37</v>
      </c>
      <c r="H140" s="36">
        <v>45231</v>
      </c>
      <c r="I140">
        <v>78</v>
      </c>
      <c r="J140">
        <v>3.5</v>
      </c>
      <c r="K140">
        <v>2024</v>
      </c>
      <c r="L140" t="s">
        <v>24</v>
      </c>
      <c r="M140" t="s">
        <v>1086</v>
      </c>
      <c r="N140">
        <v>4</v>
      </c>
      <c r="O140">
        <v>307</v>
      </c>
    </row>
    <row r="141" spans="1:15">
      <c r="A141" t="s">
        <v>983</v>
      </c>
      <c r="B141" t="s">
        <v>68</v>
      </c>
      <c r="C141" t="s">
        <v>43</v>
      </c>
      <c r="D141">
        <v>43</v>
      </c>
      <c r="E141" t="s">
        <v>47</v>
      </c>
      <c r="F141">
        <v>74</v>
      </c>
      <c r="G141" t="s">
        <v>40</v>
      </c>
      <c r="H141" s="36">
        <v>45238</v>
      </c>
      <c r="I141">
        <v>160</v>
      </c>
      <c r="J141">
        <v>2.7</v>
      </c>
      <c r="K141">
        <v>2024</v>
      </c>
      <c r="L141" t="s">
        <v>24</v>
      </c>
      <c r="M141" t="s">
        <v>1086</v>
      </c>
      <c r="N141">
        <v>3</v>
      </c>
      <c r="O141">
        <v>307</v>
      </c>
    </row>
    <row r="142" spans="1:15">
      <c r="A142" t="s">
        <v>984</v>
      </c>
      <c r="B142" t="s">
        <v>68</v>
      </c>
      <c r="C142" t="s">
        <v>43</v>
      </c>
      <c r="D142">
        <v>43</v>
      </c>
      <c r="E142" t="s">
        <v>47</v>
      </c>
      <c r="F142">
        <v>30</v>
      </c>
      <c r="G142" t="s">
        <v>38</v>
      </c>
      <c r="H142" s="36">
        <v>45238</v>
      </c>
      <c r="I142">
        <v>84</v>
      </c>
      <c r="J142">
        <v>4</v>
      </c>
      <c r="K142">
        <v>2024</v>
      </c>
      <c r="L142" t="s">
        <v>24</v>
      </c>
      <c r="M142" t="s">
        <v>1089</v>
      </c>
      <c r="N142">
        <v>4</v>
      </c>
      <c r="O142">
        <v>307</v>
      </c>
    </row>
    <row r="143" spans="1:15">
      <c r="A143" t="s">
        <v>985</v>
      </c>
      <c r="B143" t="s">
        <v>70</v>
      </c>
      <c r="C143" t="s">
        <v>44</v>
      </c>
      <c r="D143">
        <v>37</v>
      </c>
      <c r="E143" t="s">
        <v>48</v>
      </c>
      <c r="F143">
        <v>56</v>
      </c>
      <c r="G143" t="s">
        <v>37</v>
      </c>
      <c r="H143" s="36">
        <v>45238</v>
      </c>
      <c r="I143">
        <v>124</v>
      </c>
      <c r="J143">
        <v>2.6</v>
      </c>
      <c r="K143">
        <v>2024</v>
      </c>
      <c r="L143" t="s">
        <v>24</v>
      </c>
      <c r="M143" t="s">
        <v>1088</v>
      </c>
      <c r="N143">
        <v>3</v>
      </c>
      <c r="O143">
        <v>307</v>
      </c>
    </row>
    <row r="144" spans="1:15">
      <c r="A144" t="s">
        <v>986</v>
      </c>
      <c r="B144" t="s">
        <v>68</v>
      </c>
      <c r="C144" t="s">
        <v>43</v>
      </c>
      <c r="D144">
        <v>43</v>
      </c>
      <c r="E144" t="s">
        <v>47</v>
      </c>
      <c r="F144">
        <v>151</v>
      </c>
      <c r="G144" t="s">
        <v>36</v>
      </c>
      <c r="H144" s="36">
        <v>45238</v>
      </c>
      <c r="I144">
        <v>84</v>
      </c>
      <c r="J144">
        <v>4.6</v>
      </c>
      <c r="K144">
        <v>2024</v>
      </c>
      <c r="L144" t="s">
        <v>24</v>
      </c>
      <c r="M144" t="s">
        <v>1087</v>
      </c>
      <c r="N144">
        <v>5</v>
      </c>
      <c r="O144">
        <v>307</v>
      </c>
    </row>
    <row r="145" spans="1:15">
      <c r="A145" t="s">
        <v>1001</v>
      </c>
      <c r="B145" t="s">
        <v>67</v>
      </c>
      <c r="C145" t="s">
        <v>43</v>
      </c>
      <c r="D145">
        <v>37</v>
      </c>
      <c r="E145" t="s">
        <v>47</v>
      </c>
      <c r="F145">
        <v>113</v>
      </c>
      <c r="G145" t="s">
        <v>37</v>
      </c>
      <c r="H145" s="36">
        <v>45245</v>
      </c>
      <c r="I145">
        <v>34</v>
      </c>
      <c r="J145">
        <v>3.9</v>
      </c>
      <c r="K145">
        <v>2024</v>
      </c>
      <c r="L145" t="s">
        <v>24</v>
      </c>
      <c r="M145" t="s">
        <v>1086</v>
      </c>
      <c r="N145">
        <v>4</v>
      </c>
      <c r="O145">
        <v>307</v>
      </c>
    </row>
    <row r="146" spans="1:15">
      <c r="A146" t="s">
        <v>1002</v>
      </c>
      <c r="B146" t="s">
        <v>61</v>
      </c>
      <c r="C146" t="s">
        <v>43</v>
      </c>
      <c r="D146">
        <v>30</v>
      </c>
      <c r="E146" t="s">
        <v>45</v>
      </c>
      <c r="F146">
        <v>88</v>
      </c>
      <c r="G146" t="s">
        <v>40</v>
      </c>
      <c r="H146" s="36">
        <v>45245</v>
      </c>
      <c r="I146">
        <v>220</v>
      </c>
      <c r="J146">
        <v>4.1</v>
      </c>
      <c r="K146">
        <v>2024</v>
      </c>
      <c r="L146" t="s">
        <v>24</v>
      </c>
      <c r="M146" t="s">
        <v>1086</v>
      </c>
      <c r="N146">
        <v>4</v>
      </c>
      <c r="O146">
        <v>307</v>
      </c>
    </row>
    <row r="147" spans="1:15">
      <c r="A147" t="s">
        <v>1003</v>
      </c>
      <c r="B147" t="s">
        <v>59</v>
      </c>
      <c r="C147" t="s">
        <v>44</v>
      </c>
      <c r="D147">
        <v>26</v>
      </c>
      <c r="E147" t="s">
        <v>45</v>
      </c>
      <c r="F147">
        <v>64</v>
      </c>
      <c r="G147" t="s">
        <v>38</v>
      </c>
      <c r="H147" s="36">
        <v>45245</v>
      </c>
      <c r="I147">
        <v>225</v>
      </c>
      <c r="J147">
        <v>4.6</v>
      </c>
      <c r="K147">
        <v>2024</v>
      </c>
      <c r="L147" t="s">
        <v>24</v>
      </c>
      <c r="M147" t="s">
        <v>1086</v>
      </c>
      <c r="N147">
        <v>5</v>
      </c>
      <c r="O147">
        <v>307</v>
      </c>
    </row>
    <row r="148" spans="1:15">
      <c r="A148" t="s">
        <v>1029</v>
      </c>
      <c r="B148" t="s">
        <v>67</v>
      </c>
      <c r="C148" t="s">
        <v>43</v>
      </c>
      <c r="D148">
        <v>37</v>
      </c>
      <c r="E148" t="s">
        <v>47</v>
      </c>
      <c r="F148">
        <v>2</v>
      </c>
      <c r="G148" t="s">
        <v>38</v>
      </c>
      <c r="H148" s="36">
        <v>45259</v>
      </c>
      <c r="I148">
        <v>62</v>
      </c>
      <c r="J148">
        <v>2.8</v>
      </c>
      <c r="K148">
        <v>2024</v>
      </c>
      <c r="L148" t="s">
        <v>24</v>
      </c>
      <c r="M148" t="s">
        <v>1090</v>
      </c>
      <c r="N148">
        <v>3</v>
      </c>
      <c r="O148">
        <v>307</v>
      </c>
    </row>
    <row r="149" spans="1:15">
      <c r="A149" t="s">
        <v>1047</v>
      </c>
      <c r="B149" t="s">
        <v>62</v>
      </c>
      <c r="C149" t="s">
        <v>43</v>
      </c>
      <c r="D149">
        <v>28</v>
      </c>
      <c r="E149" t="s">
        <v>45</v>
      </c>
      <c r="F149">
        <v>96</v>
      </c>
      <c r="G149" t="s">
        <v>38</v>
      </c>
      <c r="H149" s="36">
        <v>45273</v>
      </c>
      <c r="I149">
        <v>164</v>
      </c>
      <c r="J149">
        <v>4.8</v>
      </c>
      <c r="K149">
        <v>2024</v>
      </c>
      <c r="L149" t="s">
        <v>24</v>
      </c>
      <c r="M149" t="s">
        <v>1086</v>
      </c>
      <c r="N149">
        <v>5</v>
      </c>
      <c r="O149">
        <v>307</v>
      </c>
    </row>
    <row r="150" spans="1:15">
      <c r="A150" t="s">
        <v>1048</v>
      </c>
      <c r="B150" t="s">
        <v>70</v>
      </c>
      <c r="C150" t="s">
        <v>44</v>
      </c>
      <c r="D150">
        <v>37</v>
      </c>
      <c r="E150" t="s">
        <v>48</v>
      </c>
      <c r="F150">
        <v>94</v>
      </c>
      <c r="G150" t="s">
        <v>37</v>
      </c>
      <c r="H150" s="36">
        <v>45273</v>
      </c>
      <c r="I150">
        <v>78</v>
      </c>
      <c r="J150">
        <v>3.3</v>
      </c>
      <c r="K150">
        <v>2024</v>
      </c>
      <c r="L150" t="s">
        <v>24</v>
      </c>
      <c r="M150" t="s">
        <v>1086</v>
      </c>
      <c r="N150">
        <v>3</v>
      </c>
      <c r="O150">
        <v>307</v>
      </c>
    </row>
    <row r="151" spans="1:15">
      <c r="A151" t="s">
        <v>1061</v>
      </c>
      <c r="B151" t="s">
        <v>72</v>
      </c>
      <c r="C151" t="s">
        <v>43</v>
      </c>
      <c r="D151">
        <v>25</v>
      </c>
      <c r="E151" t="s">
        <v>48</v>
      </c>
      <c r="F151">
        <v>120</v>
      </c>
      <c r="G151" t="s">
        <v>36</v>
      </c>
      <c r="H151" s="36">
        <v>45280</v>
      </c>
      <c r="I151">
        <v>190</v>
      </c>
      <c r="J151">
        <v>3.7</v>
      </c>
      <c r="K151">
        <v>2024</v>
      </c>
      <c r="L151" t="s">
        <v>24</v>
      </c>
      <c r="M151" t="s">
        <v>1086</v>
      </c>
      <c r="N151">
        <v>4</v>
      </c>
      <c r="O151">
        <v>307</v>
      </c>
    </row>
    <row r="152" spans="1:15">
      <c r="A152" t="s">
        <v>1062</v>
      </c>
      <c r="B152" t="s">
        <v>61</v>
      </c>
      <c r="C152" t="s">
        <v>43</v>
      </c>
      <c r="D152">
        <v>30</v>
      </c>
      <c r="E152" t="s">
        <v>45</v>
      </c>
      <c r="F152">
        <v>93</v>
      </c>
      <c r="G152" t="s">
        <v>39</v>
      </c>
      <c r="H152" s="36">
        <v>45280</v>
      </c>
      <c r="I152">
        <v>38</v>
      </c>
      <c r="J152">
        <v>4.5</v>
      </c>
      <c r="K152">
        <v>2024</v>
      </c>
      <c r="L152" t="s">
        <v>24</v>
      </c>
      <c r="M152" t="s">
        <v>1086</v>
      </c>
      <c r="N152">
        <v>5</v>
      </c>
      <c r="O152">
        <v>307</v>
      </c>
    </row>
    <row r="153" spans="1:15">
      <c r="A153" t="s">
        <v>1070</v>
      </c>
      <c r="B153" t="s">
        <v>59</v>
      </c>
      <c r="C153" t="s">
        <v>44</v>
      </c>
      <c r="D153">
        <v>26</v>
      </c>
      <c r="E153" t="s">
        <v>45</v>
      </c>
      <c r="F153">
        <v>106</v>
      </c>
      <c r="G153" t="s">
        <v>39</v>
      </c>
      <c r="H153" s="36">
        <v>45287</v>
      </c>
      <c r="I153">
        <v>46</v>
      </c>
      <c r="J153">
        <v>4.6</v>
      </c>
      <c r="K153">
        <v>2024</v>
      </c>
      <c r="L153" t="s">
        <v>24</v>
      </c>
      <c r="M153" t="s">
        <v>1086</v>
      </c>
      <c r="N153">
        <v>5</v>
      </c>
      <c r="O153">
        <v>307</v>
      </c>
    </row>
    <row r="154" spans="1:15">
      <c r="A154" t="s">
        <v>1071</v>
      </c>
      <c r="B154" t="s">
        <v>72</v>
      </c>
      <c r="C154" t="s">
        <v>43</v>
      </c>
      <c r="D154">
        <v>25</v>
      </c>
      <c r="E154" t="s">
        <v>48</v>
      </c>
      <c r="F154">
        <v>72</v>
      </c>
      <c r="G154" t="s">
        <v>40</v>
      </c>
      <c r="H154" s="36">
        <v>45287</v>
      </c>
      <c r="I154">
        <v>164</v>
      </c>
      <c r="J154">
        <v>4.8</v>
      </c>
      <c r="K154">
        <v>2024</v>
      </c>
      <c r="L154" t="s">
        <v>24</v>
      </c>
      <c r="M154" t="s">
        <v>1086</v>
      </c>
      <c r="N154">
        <v>5</v>
      </c>
      <c r="O154">
        <v>307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0:AB83"/>
  <sheetViews>
    <sheetView zoomScale="55" zoomScaleNormal="55" topLeftCell="C36" workbookViewId="0">
      <selection activeCell="AD48" sqref="AD48"/>
    </sheetView>
  </sheetViews>
  <sheetFormatPr defaultColWidth="8.8" defaultRowHeight="13.8"/>
  <cols>
    <col min="1" max="2" width="2.6" style="1" customWidth="1"/>
    <col min="3" max="3" width="8.8" style="1"/>
    <col min="4" max="4" width="17.9666666666667" style="1" customWidth="1"/>
    <col min="5" max="16" width="8.8" style="1"/>
    <col min="17" max="17" width="10.3083333333333" style="1" customWidth="1"/>
    <col min="18" max="16384" width="8.8" style="1"/>
  </cols>
  <sheetData>
    <row r="30" spans="6:28"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6:28"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43.8" spans="6:28">
      <c r="F32" s="3"/>
      <c r="G32" s="3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43.8" spans="6:28">
      <c r="F33" s="3"/>
      <c r="G33" s="3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43.8" spans="6:28">
      <c r="F34" s="3"/>
      <c r="G34" s="3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43.8" spans="6:28">
      <c r="F35" s="3"/>
      <c r="G35" s="3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55.2" spans="6:28">
      <c r="F36" s="3"/>
      <c r="G36" s="4"/>
      <c r="H36" s="4"/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43.8" spans="6:28">
      <c r="F37" s="3"/>
      <c r="G37" s="5">
        <f>Sheet3!A5</f>
        <v>1000</v>
      </c>
      <c r="H37" s="5"/>
      <c r="I37" s="5"/>
      <c r="J37" s="2"/>
      <c r="K37" s="6">
        <f>Sheet3!C5</f>
        <v>96623</v>
      </c>
      <c r="L37" s="5"/>
      <c r="M37" s="5"/>
      <c r="N37" s="2"/>
      <c r="O37" s="7">
        <f>Sheet3!B5</f>
        <v>89850</v>
      </c>
      <c r="P37" s="7"/>
      <c r="Q37" s="7"/>
      <c r="R37" s="2"/>
      <c r="S37" s="8">
        <f>Sheet3!E5</f>
        <v>3.8854</v>
      </c>
      <c r="T37" s="5"/>
      <c r="U37" s="5"/>
      <c r="V37" s="2"/>
      <c r="W37" s="5">
        <f>Sheet3!D5</f>
        <v>307</v>
      </c>
      <c r="X37" s="5"/>
      <c r="Y37" s="5"/>
      <c r="Z37" s="2"/>
      <c r="AA37" s="2"/>
      <c r="AB37" s="2"/>
    </row>
    <row r="38" ht="43.8" spans="6:28">
      <c r="F38" s="3"/>
      <c r="G38" s="5"/>
      <c r="H38" s="5"/>
      <c r="I38" s="5"/>
      <c r="J38" s="2"/>
      <c r="K38" s="5"/>
      <c r="L38" s="5"/>
      <c r="M38" s="5"/>
      <c r="N38" s="2"/>
      <c r="O38" s="7"/>
      <c r="P38" s="7"/>
      <c r="Q38" s="7"/>
      <c r="R38" s="2"/>
      <c r="S38" s="5"/>
      <c r="T38" s="5"/>
      <c r="U38" s="5"/>
      <c r="V38" s="2"/>
      <c r="W38" s="5"/>
      <c r="X38" s="5"/>
      <c r="Y38" s="5"/>
      <c r="Z38" s="2"/>
      <c r="AA38" s="2"/>
      <c r="AB38" s="2"/>
    </row>
    <row r="39" ht="44.4" spans="6:28">
      <c r="F39" s="9"/>
      <c r="G39" s="10">
        <f>Sheet3!A15</f>
        <v>200</v>
      </c>
      <c r="H39" s="10"/>
      <c r="I39" s="10"/>
      <c r="J39" s="11"/>
      <c r="K39" s="12">
        <f>Sheet3!C15</f>
        <v>20104</v>
      </c>
      <c r="L39" s="13"/>
      <c r="M39" s="13"/>
      <c r="N39" s="14"/>
      <c r="O39" s="10">
        <f>Sheet3!B15</f>
        <v>18209</v>
      </c>
      <c r="P39" s="10"/>
      <c r="Q39" s="10"/>
      <c r="R39" s="15"/>
      <c r="S39" s="16">
        <f>Sheet3!E15</f>
        <v>3.8825</v>
      </c>
      <c r="T39" s="17"/>
      <c r="U39" s="17"/>
      <c r="W39" s="10">
        <f>Sheet3!D15</f>
        <v>307</v>
      </c>
      <c r="X39" s="10"/>
      <c r="Y39" s="10"/>
    </row>
    <row r="40" spans="6:28"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6:28"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spans="6:28"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6:28"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6:28"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6:28"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6:28"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6:28"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6:28"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6:28"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6:28"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6:28"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6:28"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6:28"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6:28"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6:28"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6:28"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6:28"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6:28"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6:28"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6:28"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6:28"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20"/>
      <c r="T61" s="21"/>
      <c r="U61" s="22" t="str" cm="1">
        <f t="array" ref="U61:Y61">Sheet3!D144:H144</f>
        <v>R01</v>
      </c>
      <c r="V61" s="22" t="str">
        <v>R02</v>
      </c>
      <c r="W61" s="22" t="str">
        <v>R03</v>
      </c>
      <c r="X61" s="22" t="str">
        <v>R04</v>
      </c>
      <c r="Y61" s="22" t="str">
        <v>R05</v>
      </c>
      <c r="Z61" s="23" t="s">
        <v>1091</v>
      </c>
      <c r="AA61" s="19"/>
      <c r="AB61" s="19"/>
    </row>
    <row r="62" spans="6:28"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24" t="s">
        <v>45</v>
      </c>
      <c r="T62" s="25"/>
      <c r="U62" s="25"/>
      <c r="V62" s="25"/>
      <c r="W62" s="25"/>
      <c r="X62" s="25"/>
      <c r="Y62" s="25"/>
      <c r="Z62" s="26"/>
      <c r="AA62" s="19"/>
      <c r="AB62" s="19"/>
    </row>
    <row r="63" spans="6:28"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27"/>
      <c r="T63" s="28" t="s">
        <v>59</v>
      </c>
      <c r="U63" s="29">
        <v>891</v>
      </c>
      <c r="V63" s="29">
        <v>1332</v>
      </c>
      <c r="W63" s="29">
        <v>1282</v>
      </c>
      <c r="X63" s="29">
        <v>739</v>
      </c>
      <c r="Y63" s="29">
        <v>560</v>
      </c>
      <c r="Z63" s="30">
        <v>4804</v>
      </c>
      <c r="AA63" s="19"/>
      <c r="AB63" s="19"/>
    </row>
    <row r="64" spans="6:28"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27"/>
      <c r="T64" s="28" t="s">
        <v>60</v>
      </c>
      <c r="U64" s="29">
        <v>1991</v>
      </c>
      <c r="V64" s="29">
        <v>1886</v>
      </c>
      <c r="W64" s="29">
        <v>1206</v>
      </c>
      <c r="X64" s="29">
        <v>884</v>
      </c>
      <c r="Y64" s="29">
        <v>1722</v>
      </c>
      <c r="Z64" s="30">
        <v>7689</v>
      </c>
      <c r="AA64" s="19"/>
      <c r="AB64" s="19"/>
    </row>
    <row r="65" spans="6:28"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27"/>
      <c r="T65" s="28" t="s">
        <v>61</v>
      </c>
      <c r="U65" s="29">
        <v>1163</v>
      </c>
      <c r="V65" s="29">
        <v>1180</v>
      </c>
      <c r="W65" s="29">
        <v>1616</v>
      </c>
      <c r="X65" s="29">
        <v>1043</v>
      </c>
      <c r="Y65" s="29">
        <v>1747</v>
      </c>
      <c r="Z65" s="30">
        <v>6749</v>
      </c>
      <c r="AA65" s="19"/>
      <c r="AB65" s="19"/>
    </row>
    <row r="66" spans="6:28"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27"/>
      <c r="T66" s="28" t="s">
        <v>62</v>
      </c>
      <c r="U66" s="29">
        <v>1438</v>
      </c>
      <c r="V66" s="29">
        <v>1616</v>
      </c>
      <c r="W66" s="29">
        <v>866</v>
      </c>
      <c r="X66" s="29">
        <v>829</v>
      </c>
      <c r="Y66" s="29">
        <v>2070</v>
      </c>
      <c r="Z66" s="30">
        <v>6819</v>
      </c>
      <c r="AA66" s="19"/>
      <c r="AB66" s="19"/>
    </row>
    <row r="67" spans="6:28"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24" t="s">
        <v>47</v>
      </c>
      <c r="T67" s="25"/>
      <c r="U67" s="29"/>
      <c r="V67" s="29"/>
      <c r="W67" s="29"/>
      <c r="X67" s="29"/>
      <c r="Y67" s="29"/>
      <c r="Z67" s="30"/>
      <c r="AA67" s="19"/>
      <c r="AB67" s="19"/>
    </row>
    <row r="68" spans="6:28"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27"/>
      <c r="T68" s="28" t="s">
        <v>63</v>
      </c>
      <c r="U68" s="29">
        <v>1233</v>
      </c>
      <c r="V68" s="29">
        <v>223</v>
      </c>
      <c r="W68" s="29">
        <v>1680</v>
      </c>
      <c r="X68" s="29">
        <v>990</v>
      </c>
      <c r="Y68" s="29">
        <v>1508</v>
      </c>
      <c r="Z68" s="30">
        <v>5634</v>
      </c>
      <c r="AA68" s="19"/>
      <c r="AB68" s="19"/>
    </row>
    <row r="69" spans="6:28"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27"/>
      <c r="T69" s="28" t="s">
        <v>64</v>
      </c>
      <c r="U69" s="29">
        <v>1598</v>
      </c>
      <c r="V69" s="29">
        <v>1907</v>
      </c>
      <c r="W69" s="29">
        <v>869</v>
      </c>
      <c r="X69" s="29">
        <v>1426</v>
      </c>
      <c r="Y69" s="29">
        <v>1416</v>
      </c>
      <c r="Z69" s="30">
        <v>7216</v>
      </c>
      <c r="AA69" s="19"/>
      <c r="AB69" s="19"/>
    </row>
    <row r="70" spans="6:28"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27"/>
      <c r="T70" s="28" t="s">
        <v>65</v>
      </c>
      <c r="U70" s="29">
        <v>900</v>
      </c>
      <c r="V70" s="29">
        <v>1016</v>
      </c>
      <c r="W70" s="29">
        <v>960</v>
      </c>
      <c r="X70" s="29">
        <v>940</v>
      </c>
      <c r="Y70" s="29">
        <v>1193</v>
      </c>
      <c r="Z70" s="30">
        <v>5009</v>
      </c>
      <c r="AA70" s="19"/>
      <c r="AB70" s="19"/>
    </row>
    <row r="71" spans="6:28"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27"/>
      <c r="T71" s="28" t="s">
        <v>66</v>
      </c>
      <c r="U71" s="29">
        <v>900</v>
      </c>
      <c r="V71" s="29">
        <v>1470</v>
      </c>
      <c r="W71" s="29">
        <v>1617</v>
      </c>
      <c r="X71" s="29">
        <v>1314</v>
      </c>
      <c r="Y71" s="29">
        <v>941</v>
      </c>
      <c r="Z71" s="30">
        <v>6242</v>
      </c>
      <c r="AA71" s="19"/>
      <c r="AB71" s="19"/>
    </row>
    <row r="72" spans="6:28"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27"/>
      <c r="T72" s="28" t="s">
        <v>67</v>
      </c>
      <c r="U72" s="29">
        <v>1255</v>
      </c>
      <c r="V72" s="29">
        <v>516</v>
      </c>
      <c r="W72" s="29">
        <v>1874</v>
      </c>
      <c r="X72" s="29">
        <v>1863</v>
      </c>
      <c r="Y72" s="29">
        <v>1722</v>
      </c>
      <c r="Z72" s="30">
        <v>7230</v>
      </c>
      <c r="AA72" s="19"/>
      <c r="AB72" s="19"/>
    </row>
    <row r="73" spans="6:28"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27"/>
      <c r="T73" s="28" t="s">
        <v>68</v>
      </c>
      <c r="U73" s="29">
        <v>1138</v>
      </c>
      <c r="V73" s="29">
        <v>1898</v>
      </c>
      <c r="W73" s="29">
        <v>1482</v>
      </c>
      <c r="X73" s="29">
        <v>846</v>
      </c>
      <c r="Y73" s="29">
        <v>1154</v>
      </c>
      <c r="Z73" s="30">
        <v>6518</v>
      </c>
      <c r="AA73" s="19"/>
      <c r="AB73" s="19"/>
    </row>
    <row r="74" spans="6:28"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24" t="s">
        <v>48</v>
      </c>
      <c r="T74" s="25"/>
      <c r="U74" s="29"/>
      <c r="V74" s="29"/>
      <c r="W74" s="29"/>
      <c r="X74" s="29"/>
      <c r="Y74" s="29"/>
      <c r="Z74" s="30"/>
      <c r="AA74" s="19"/>
      <c r="AB74" s="19"/>
    </row>
    <row r="75" spans="6:28"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 t="str">
        <f>Sheet3!N116</f>
        <v>=DISPIMG("ID_EC911822DCF444EC8A14DF6B7BA76BC9",1)</v>
      </c>
      <c r="Q75" s="19"/>
      <c r="R75" s="19"/>
      <c r="S75" s="27"/>
      <c r="T75" s="28" t="s">
        <v>69</v>
      </c>
      <c r="U75" s="29">
        <v>1655</v>
      </c>
      <c r="V75" s="29">
        <v>805</v>
      </c>
      <c r="W75" s="29">
        <v>2263</v>
      </c>
      <c r="X75" s="29">
        <v>987</v>
      </c>
      <c r="Y75" s="29">
        <v>1075</v>
      </c>
      <c r="Z75" s="30">
        <v>6785</v>
      </c>
      <c r="AA75" s="19"/>
      <c r="AB75" s="19"/>
    </row>
    <row r="76" spans="6:28"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27"/>
      <c r="T76" s="28" t="s">
        <v>70</v>
      </c>
      <c r="U76" s="29">
        <v>1104</v>
      </c>
      <c r="V76" s="29">
        <v>2280</v>
      </c>
      <c r="W76" s="29">
        <v>1445</v>
      </c>
      <c r="X76" s="29">
        <v>1722</v>
      </c>
      <c r="Y76" s="29">
        <v>1196</v>
      </c>
      <c r="Z76" s="30">
        <v>7747</v>
      </c>
      <c r="AA76" s="19"/>
      <c r="AB76" s="19"/>
    </row>
    <row r="77" spans="6:28"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27"/>
      <c r="T77" s="28" t="s">
        <v>71</v>
      </c>
      <c r="U77" s="29">
        <v>372</v>
      </c>
      <c r="V77" s="29">
        <v>1818</v>
      </c>
      <c r="W77" s="29">
        <v>1346</v>
      </c>
      <c r="X77" s="29">
        <v>1156</v>
      </c>
      <c r="Y77" s="29">
        <v>1484</v>
      </c>
      <c r="Z77" s="30">
        <v>6176</v>
      </c>
      <c r="AA77" s="19"/>
      <c r="AB77" s="19"/>
    </row>
    <row r="78" spans="6:28"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27"/>
      <c r="T78" s="28" t="s">
        <v>72</v>
      </c>
      <c r="U78" s="29">
        <v>1415</v>
      </c>
      <c r="V78" s="29">
        <v>1271</v>
      </c>
      <c r="W78" s="29">
        <v>1214</v>
      </c>
      <c r="X78" s="29">
        <v>1135</v>
      </c>
      <c r="Y78" s="29">
        <v>1566</v>
      </c>
      <c r="Z78" s="30">
        <v>6601</v>
      </c>
      <c r="AA78" s="19"/>
      <c r="AB78" s="19"/>
    </row>
    <row r="79" spans="6:28"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31"/>
      <c r="T79" s="32" t="s">
        <v>73</v>
      </c>
      <c r="U79" s="33">
        <v>1362</v>
      </c>
      <c r="V79" s="33">
        <v>1363</v>
      </c>
      <c r="W79" s="33">
        <v>1152</v>
      </c>
      <c r="X79" s="33">
        <v>777</v>
      </c>
      <c r="Y79" s="33">
        <v>750</v>
      </c>
      <c r="Z79" s="34">
        <v>5404</v>
      </c>
      <c r="AA79" s="19"/>
      <c r="AB79" s="19"/>
    </row>
    <row r="80" spans="6:28"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35" t="str">
        <f>Sheet3!N110</f>
        <v>% of calls:20%</v>
      </c>
      <c r="Q80" s="35"/>
      <c r="R80" s="35"/>
    </row>
    <row r="81" spans="13:18">
      <c r="M81" s="19"/>
      <c r="N81" s="19"/>
      <c r="O81" s="19"/>
      <c r="P81" s="35" t="str">
        <f>Sheet3!N111</f>
        <v>Call rank:3</v>
      </c>
      <c r="Q81" s="35"/>
      <c r="R81" s="35"/>
    </row>
    <row r="82" spans="13:18">
      <c r="M82" s="19"/>
      <c r="N82" s="19"/>
      <c r="O82" s="19"/>
      <c r="P82" s="35" t="str">
        <f>Sheet3!N112</f>
        <v>Amount rank:3</v>
      </c>
      <c r="Q82" s="35"/>
      <c r="R82" s="35"/>
    </row>
    <row r="83" spans="13:18">
      <c r="M83" s="19"/>
      <c r="N83" s="19"/>
      <c r="O83" s="19"/>
    </row>
  </sheetData>
  <mergeCells count="23">
    <mergeCell ref="G39:I39"/>
    <mergeCell ref="K39:M39"/>
    <mergeCell ref="O39:Q39"/>
    <mergeCell ref="S39:U39"/>
    <mergeCell ref="W39:Y39"/>
    <mergeCell ref="F40:AB40"/>
    <mergeCell ref="S60:Z60"/>
    <mergeCell ref="P80:R80"/>
    <mergeCell ref="M81:O81"/>
    <mergeCell ref="P81:R81"/>
    <mergeCell ref="M82:O82"/>
    <mergeCell ref="P82:R82"/>
    <mergeCell ref="M83:O83"/>
    <mergeCell ref="P75:R79"/>
    <mergeCell ref="G37:I38"/>
    <mergeCell ref="S37:U38"/>
    <mergeCell ref="K37:M38"/>
    <mergeCell ref="W37:Y38"/>
    <mergeCell ref="O37:Q38"/>
    <mergeCell ref="F41:AB59"/>
    <mergeCell ref="F60:R74"/>
    <mergeCell ref="F75:O80"/>
    <mergeCell ref="AA60:AB79"/>
  </mergeCells>
  <conditionalFormatting sqref="U61:Y79">
    <cfRule type="expression" dxfId="89" priority="1">
      <formula>U$61=Sheet3!$A$90</formula>
    </cfRule>
  </conditionalFormatting>
  <conditionalFormatting sqref="U62:Y79">
    <cfRule type="dataBar" priority="2">
      <dataBar>
        <cfvo type="num" val="0"/>
        <cfvo type="num" val="MAX($U$63:$Y$79)*2"/>
        <color theme="1"/>
      </dataBar>
      <extLst>
        <ext xmlns:x14="http://schemas.microsoft.com/office/spreadsheetml/2009/9/main" uri="{B025F937-C7B1-47D3-B67F-A62EFF666E3E}">
          <x14:id>{228178d3-de18-4509-a8f7-3a94c63e3b07}</x14:id>
        </ext>
      </extLst>
    </cfRule>
  </conditionalFormatting>
  <pageMargins left="0.75" right="0.75" top="1" bottom="1" header="0.5" footer="0.5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8178d3-de18-4509-a8f7-3a94c63e3b07}">
            <x14:dataBar minLength="0" maxLength="100" gradient="0">
              <x14:cfvo type="num">
                <xm:f>0</xm:f>
              </x14:cfvo>
              <x14:cfvo type="num">
                <xm:f>MAX($U$63:$Y$79)*2</xm:f>
              </x14:cfvo>
              <x14:negativeFillColor rgb="FFFF0000"/>
              <x14:axisColor rgb="FF000000"/>
            </x14:dataBar>
          </x14:cfRule>
          <xm:sqref>U62:Y79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Data</vt:lpstr>
      <vt:lpstr>Assets</vt:lpstr>
      <vt:lpstr>Sheet2</vt:lpstr>
      <vt:lpstr>Customer Centre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ishav</cp:lastModifiedBy>
  <dcterms:created xsi:type="dcterms:W3CDTF">2021-03-14T20:21:00Z</dcterms:created>
  <dcterms:modified xsi:type="dcterms:W3CDTF">2026-04-14T10:19:22Z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ICV">
    <vt:lpwstr>8476832F111D44239E15896758DB8FB4_13</vt:lpwstr>
  </property>
  <property fmtid="{D5CDD505-2E9C-101B-9397-08002B2CF9AE}" pid="4" name="CalculationRule">
    <vt:i4>0</vt:i4>
  </property>
</Properties>
</file>